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c4cc82bd3d6423d/Desktop/Bocconi^0Poli/Second Year/Second Semester/INRE/"/>
    </mc:Choice>
  </mc:AlternateContent>
  <xr:revisionPtr revIDLastSave="24" documentId="8_{09CD0F2B-540C-45D8-BC2A-65DA96967CC7}" xr6:coauthVersionLast="47" xr6:coauthVersionMax="47" xr10:uidLastSave="{D9373C10-17AB-4C91-B2BA-339779957087}"/>
  <bookViews>
    <workbookView xWindow="-108" yWindow="-108" windowWidth="23256" windowHeight="12456" firstSheet="1" activeTab="5" xr2:uid="{D7923BF5-5857-4835-8901-1D90A91F9753}"/>
  </bookViews>
  <sheets>
    <sheet name="Output Produzione" sheetId="2" r:id="rId1"/>
    <sheet name="Prezzi Energia Vari" sheetId="1" r:id="rId2"/>
    <sheet name="OPEX and CAPEX" sheetId="3" r:id="rId3"/>
    <sheet name="Base Case" sheetId="4" r:id="rId4"/>
    <sheet name="Full Electric" sheetId="6" r:id="rId5"/>
    <sheet name="Middle of the Road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B34" i="1"/>
  <c r="F17" i="1"/>
  <c r="E11" i="1"/>
  <c r="W9" i="8" l="1"/>
  <c r="X9" i="8" s="1"/>
  <c r="AG9" i="8"/>
  <c r="AG12" i="8" s="1"/>
  <c r="AH9" i="8"/>
  <c r="AH12" i="8" s="1"/>
  <c r="AI9" i="8"/>
  <c r="AI12" i="8" s="1"/>
  <c r="AJ9" i="8"/>
  <c r="AJ12" i="8" s="1"/>
  <c r="AK9" i="8"/>
  <c r="AL9" i="8"/>
  <c r="AM9" i="8" s="1"/>
  <c r="AV9" i="8"/>
  <c r="AW9" i="8"/>
  <c r="AX9" i="8"/>
  <c r="AY9" i="8"/>
  <c r="AZ9" i="8"/>
  <c r="AZ12" i="8" s="1"/>
  <c r="BA9" i="8"/>
  <c r="BA12" i="8" s="1"/>
  <c r="BB9" i="8"/>
  <c r="BC9" i="8" s="1"/>
  <c r="W10" i="8"/>
  <c r="X10" i="8"/>
  <c r="Y10" i="8"/>
  <c r="Z10" i="8"/>
  <c r="AA10" i="8"/>
  <c r="AB10" i="8"/>
  <c r="AC10" i="8"/>
  <c r="AD10" i="8"/>
  <c r="AE10" i="8" s="1"/>
  <c r="AF10" i="8" s="1"/>
  <c r="AG10" i="8"/>
  <c r="AH10" i="8"/>
  <c r="AI10" i="8"/>
  <c r="AJ10" i="8"/>
  <c r="AK10" i="8" s="1"/>
  <c r="AL10" i="8" s="1"/>
  <c r="AM10" i="8" s="1"/>
  <c r="AN10" i="8" s="1"/>
  <c r="AO10" i="8" s="1"/>
  <c r="AP10" i="8" s="1"/>
  <c r="AQ10" i="8" s="1"/>
  <c r="AR10" i="8" s="1"/>
  <c r="AS10" i="8" s="1"/>
  <c r="AT10" i="8" s="1"/>
  <c r="AU10" i="8"/>
  <c r="AV10" i="8" s="1"/>
  <c r="AW10" i="8" s="1"/>
  <c r="AX10" i="8" s="1"/>
  <c r="AY10" i="8" s="1"/>
  <c r="AZ10" i="8" s="1"/>
  <c r="BA10" i="8" s="1"/>
  <c r="BB10" i="8" s="1"/>
  <c r="BC10" i="8" s="1"/>
  <c r="BD10" i="8" s="1"/>
  <c r="BE10" i="8" s="1"/>
  <c r="BF10" i="8" s="1"/>
  <c r="BG10" i="8" s="1"/>
  <c r="BH10" i="8" s="1"/>
  <c r="BI10" i="8" s="1"/>
  <c r="BJ10" i="8" s="1"/>
  <c r="W11" i="8"/>
  <c r="X11" i="8" s="1"/>
  <c r="Y11" i="8" s="1"/>
  <c r="Z11" i="8" s="1"/>
  <c r="AA11" i="8" s="1"/>
  <c r="AB11" i="8" s="1"/>
  <c r="AC11" i="8" s="1"/>
  <c r="AD11" i="8" s="1"/>
  <c r="AE11" i="8" s="1"/>
  <c r="AF11" i="8" s="1"/>
  <c r="AG11" i="8"/>
  <c r="AH11" i="8"/>
  <c r="AI11" i="8"/>
  <c r="AJ11" i="8"/>
  <c r="AK11" i="8"/>
  <c r="AL11" i="8"/>
  <c r="AM11" i="8" s="1"/>
  <c r="AN11" i="8" s="1"/>
  <c r="AO11" i="8" s="1"/>
  <c r="AP11" i="8" s="1"/>
  <c r="AQ11" i="8" s="1"/>
  <c r="AR11" i="8" s="1"/>
  <c r="AS11" i="8" s="1"/>
  <c r="AT11" i="8" s="1"/>
  <c r="AU11" i="8"/>
  <c r="AV11" i="8"/>
  <c r="AW11" i="8"/>
  <c r="AX11" i="8"/>
  <c r="AY11" i="8"/>
  <c r="AZ11" i="8"/>
  <c r="BA11" i="8"/>
  <c r="BB11" i="8"/>
  <c r="BC11" i="8" s="1"/>
  <c r="BD11" i="8" s="1"/>
  <c r="BE11" i="8" s="1"/>
  <c r="BF11" i="8" s="1"/>
  <c r="BG11" i="8" s="1"/>
  <c r="BH11" i="8" s="1"/>
  <c r="BI11" i="8" s="1"/>
  <c r="BJ11" i="8" s="1"/>
  <c r="W12" i="8"/>
  <c r="W13" i="8"/>
  <c r="X13" i="8" s="1"/>
  <c r="W14" i="8"/>
  <c r="X14" i="8"/>
  <c r="Y14" i="8"/>
  <c r="Z14" i="8"/>
  <c r="AA14" i="8"/>
  <c r="AB14" i="8"/>
  <c r="AC14" i="8"/>
  <c r="AD14" i="8"/>
  <c r="AE14" i="8" s="1"/>
  <c r="AF14" i="8" s="1"/>
  <c r="AG14" i="8" s="1"/>
  <c r="AH14" i="8" s="1"/>
  <c r="AI14" i="8" s="1"/>
  <c r="AJ14" i="8" s="1"/>
  <c r="AK14" i="8" s="1"/>
  <c r="AL14" i="8" s="1"/>
  <c r="AM14" i="8" s="1"/>
  <c r="AN14" i="8" s="1"/>
  <c r="AO14" i="8" s="1"/>
  <c r="AP14" i="8" s="1"/>
  <c r="AQ14" i="8" s="1"/>
  <c r="AR14" i="8" s="1"/>
  <c r="AS14" i="8" s="1"/>
  <c r="AT14" i="8" s="1"/>
  <c r="AU14" i="8" s="1"/>
  <c r="AV14" i="8" s="1"/>
  <c r="AW14" i="8" s="1"/>
  <c r="AX14" i="8" s="1"/>
  <c r="AY14" i="8" s="1"/>
  <c r="AZ14" i="8" s="1"/>
  <c r="BA14" i="8" s="1"/>
  <c r="BB14" i="8" s="1"/>
  <c r="BC14" i="8" s="1"/>
  <c r="BD14" i="8" s="1"/>
  <c r="BE14" i="8" s="1"/>
  <c r="BF14" i="8" s="1"/>
  <c r="BG14" i="8" s="1"/>
  <c r="BH14" i="8" s="1"/>
  <c r="BI14" i="8" s="1"/>
  <c r="BJ14" i="8" s="1"/>
  <c r="AG15" i="8"/>
  <c r="AH15" i="8"/>
  <c r="AI15" i="8"/>
  <c r="AJ15" i="8"/>
  <c r="AK15" i="8"/>
  <c r="AL15" i="8" s="1"/>
  <c r="AM15" i="8" s="1"/>
  <c r="AN15" i="8" s="1"/>
  <c r="AO15" i="8" s="1"/>
  <c r="AP15" i="8" s="1"/>
  <c r="AQ15" i="8" s="1"/>
  <c r="AR15" i="8" s="1"/>
  <c r="AS15" i="8" s="1"/>
  <c r="AT15" i="8" s="1"/>
  <c r="AU15" i="8" s="1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BJ15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BJ16" i="8"/>
  <c r="AV10" i="4"/>
  <c r="AV9" i="4"/>
  <c r="AU9" i="4"/>
  <c r="AG9" i="4"/>
  <c r="AH9" i="4" s="1"/>
  <c r="AI9" i="4" s="1"/>
  <c r="AJ9" i="4" s="1"/>
  <c r="AK9" i="4" s="1"/>
  <c r="AL9" i="4" s="1"/>
  <c r="AM9" i="4" s="1"/>
  <c r="AN9" i="4" s="1"/>
  <c r="AO9" i="4" s="1"/>
  <c r="AP9" i="4" s="1"/>
  <c r="AU10" i="4"/>
  <c r="AI10" i="4"/>
  <c r="AJ10" i="4"/>
  <c r="AK10" i="4"/>
  <c r="AL10" i="4"/>
  <c r="AM10" i="4"/>
  <c r="AN10" i="4"/>
  <c r="AO10" i="4"/>
  <c r="AP10" i="4"/>
  <c r="AH10" i="4"/>
  <c r="AG10" i="4"/>
  <c r="AF9" i="4"/>
  <c r="X9" i="4"/>
  <c r="Y9" i="4" s="1"/>
  <c r="Z9" i="4" s="1"/>
  <c r="AA9" i="4" s="1"/>
  <c r="AB9" i="4" s="1"/>
  <c r="AC9" i="4" s="1"/>
  <c r="AD9" i="4" s="1"/>
  <c r="AE9" i="4" s="1"/>
  <c r="X10" i="4"/>
  <c r="Y10" i="4"/>
  <c r="Z10" i="4"/>
  <c r="AA10" i="4"/>
  <c r="AB10" i="4"/>
  <c r="AC10" i="4"/>
  <c r="AD10" i="4"/>
  <c r="AE10" i="4"/>
  <c r="AF10" i="4"/>
  <c r="W10" i="4"/>
  <c r="W9" i="4"/>
  <c r="W8" i="4"/>
  <c r="T9" i="4"/>
  <c r="U9" i="4"/>
  <c r="V9" i="4"/>
  <c r="T10" i="4"/>
  <c r="U10" i="4" s="1"/>
  <c r="V10" i="4" s="1"/>
  <c r="S10" i="4"/>
  <c r="S9" i="4"/>
  <c r="R10" i="4"/>
  <c r="R9" i="4"/>
  <c r="E10" i="4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E9" i="4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C9" i="4"/>
  <c r="D9" i="4"/>
  <c r="D10" i="4"/>
  <c r="C10" i="4"/>
  <c r="AX12" i="8" l="1"/>
  <c r="AV12" i="8"/>
  <c r="AK12" i="8"/>
  <c r="BD9" i="8"/>
  <c r="BC12" i="8"/>
  <c r="Y13" i="8"/>
  <c r="AN9" i="8"/>
  <c r="AM12" i="8"/>
  <c r="AY12" i="8"/>
  <c r="AW12" i="8"/>
  <c r="X12" i="8"/>
  <c r="Y9" i="8"/>
  <c r="BB12" i="8"/>
  <c r="AL12" i="8"/>
  <c r="E7" i="3"/>
  <c r="J15" i="4"/>
  <c r="K15" i="4"/>
  <c r="L15" i="4"/>
  <c r="M15" i="4"/>
  <c r="N15" i="4"/>
  <c r="O15" i="4"/>
  <c r="P15" i="4"/>
  <c r="Q15" i="4"/>
  <c r="Z15" i="4"/>
  <c r="AA15" i="4"/>
  <c r="AB15" i="4"/>
  <c r="AC15" i="4"/>
  <c r="AD15" i="4"/>
  <c r="AE15" i="4"/>
  <c r="AF15" i="4"/>
  <c r="AG15" i="4"/>
  <c r="AP15" i="4"/>
  <c r="AQ15" i="4"/>
  <c r="AR15" i="4"/>
  <c r="AS15" i="4"/>
  <c r="AT15" i="4"/>
  <c r="AU15" i="4"/>
  <c r="AV15" i="4"/>
  <c r="AW15" i="4"/>
  <c r="BF15" i="4"/>
  <c r="BG15" i="4"/>
  <c r="BH15" i="4"/>
  <c r="BI15" i="4"/>
  <c r="BJ15" i="4"/>
  <c r="C15" i="4"/>
  <c r="E4" i="3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N2" i="8"/>
  <c r="L4" i="3"/>
  <c r="C10" i="3"/>
  <c r="E10" i="3" s="1"/>
  <c r="C13" i="3"/>
  <c r="W18" i="8" s="1"/>
  <c r="C20" i="8"/>
  <c r="K20" i="8" s="1"/>
  <c r="N2" i="6"/>
  <c r="B23" i="6" s="1"/>
  <c r="D22" i="3"/>
  <c r="E22" i="3"/>
  <c r="C7" i="3"/>
  <c r="C4" i="3"/>
  <c r="B18" i="8"/>
  <c r="B25" i="8" s="1"/>
  <c r="B3" i="6"/>
  <c r="H24" i="6" s="1"/>
  <c r="C13" i="8"/>
  <c r="D13" i="8" s="1"/>
  <c r="D17" i="8" s="1"/>
  <c r="B2" i="8"/>
  <c r="B3" i="8" s="1"/>
  <c r="C2" i="8"/>
  <c r="D2" i="8"/>
  <c r="E2" i="8"/>
  <c r="C3" i="8"/>
  <c r="D3" i="8"/>
  <c r="E3" i="8"/>
  <c r="C12" i="6"/>
  <c r="D12" i="6" s="1"/>
  <c r="E12" i="6" s="1"/>
  <c r="E2" i="6"/>
  <c r="E3" i="6" s="1"/>
  <c r="D2" i="6"/>
  <c r="D3" i="6" s="1"/>
  <c r="C2" i="6"/>
  <c r="B2" i="6"/>
  <c r="C19" i="4"/>
  <c r="H19" i="4" s="1"/>
  <c r="G45" i="2"/>
  <c r="G31" i="2"/>
  <c r="G3" i="2"/>
  <c r="G17" i="2"/>
  <c r="B27" i="1"/>
  <c r="D4" i="3"/>
  <c r="E3" i="4"/>
  <c r="D3" i="4"/>
  <c r="C3" i="4"/>
  <c r="B3" i="4"/>
  <c r="E2" i="4"/>
  <c r="D2" i="4"/>
  <c r="C2" i="4"/>
  <c r="T25" i="4" s="1"/>
  <c r="B2" i="4"/>
  <c r="E25" i="4" s="1"/>
  <c r="O4" i="3"/>
  <c r="R4" i="3"/>
  <c r="Q4" i="3"/>
  <c r="P4" i="3"/>
  <c r="E12" i="1"/>
  <c r="F6" i="1"/>
  <c r="F7" i="1"/>
  <c r="F8" i="1"/>
  <c r="F9" i="1"/>
  <c r="F10" i="1"/>
  <c r="AN12" i="8" l="1"/>
  <c r="AO9" i="8"/>
  <c r="Z13" i="8"/>
  <c r="Z9" i="8"/>
  <c r="Y12" i="8"/>
  <c r="BD12" i="8"/>
  <c r="BE9" i="8"/>
  <c r="W32" i="8"/>
  <c r="AQ18" i="8"/>
  <c r="C14" i="4"/>
  <c r="D14" i="4" s="1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25" i="4"/>
  <c r="Z26" i="8"/>
  <c r="B32" i="8"/>
  <c r="B39" i="8" s="1"/>
  <c r="BE15" i="4"/>
  <c r="AO15" i="4"/>
  <c r="Y15" i="4"/>
  <c r="I15" i="4"/>
  <c r="AL25" i="4"/>
  <c r="AV14" i="4"/>
  <c r="BD15" i="4"/>
  <c r="AN15" i="4"/>
  <c r="X15" i="4"/>
  <c r="H15" i="4"/>
  <c r="R12" i="6"/>
  <c r="R15" i="6" s="1"/>
  <c r="R23" i="6" s="1"/>
  <c r="C17" i="8"/>
  <c r="BE14" i="4"/>
  <c r="BC15" i="4"/>
  <c r="G15" i="4"/>
  <c r="Y26" i="8"/>
  <c r="BB15" i="4"/>
  <c r="AL15" i="4"/>
  <c r="V15" i="4"/>
  <c r="F15" i="4"/>
  <c r="BC14" i="4"/>
  <c r="AW14" i="4"/>
  <c r="AB25" i="4"/>
  <c r="BA15" i="4"/>
  <c r="AK15" i="4"/>
  <c r="U15" i="4"/>
  <c r="E15" i="4"/>
  <c r="Z25" i="4"/>
  <c r="AZ15" i="4"/>
  <c r="AJ15" i="4"/>
  <c r="T15" i="4"/>
  <c r="D15" i="4"/>
  <c r="AZ25" i="4"/>
  <c r="W15" i="4"/>
  <c r="C12" i="4"/>
  <c r="BG25" i="4"/>
  <c r="N2" i="4"/>
  <c r="AY15" i="4"/>
  <c r="AI15" i="4"/>
  <c r="S15" i="4"/>
  <c r="AM15" i="4"/>
  <c r="R13" i="8"/>
  <c r="AW25" i="4"/>
  <c r="W17" i="4"/>
  <c r="AX15" i="4"/>
  <c r="AH15" i="4"/>
  <c r="R15" i="4"/>
  <c r="S26" i="8"/>
  <c r="V26" i="8"/>
  <c r="C4" i="8"/>
  <c r="AH26" i="8"/>
  <c r="AA25" i="4"/>
  <c r="S25" i="4"/>
  <c r="G25" i="4"/>
  <c r="S12" i="6"/>
  <c r="T12" i="6" s="1"/>
  <c r="U12" i="6" s="1"/>
  <c r="U15" i="6" s="1"/>
  <c r="U23" i="6" s="1"/>
  <c r="O25" i="4"/>
  <c r="H25" i="4"/>
  <c r="U25" i="4"/>
  <c r="AY25" i="4"/>
  <c r="AM24" i="6"/>
  <c r="W24" i="6"/>
  <c r="AG14" i="4"/>
  <c r="BD14" i="4"/>
  <c r="AR25" i="4"/>
  <c r="AJ25" i="4"/>
  <c r="BF25" i="4"/>
  <c r="AX25" i="4"/>
  <c r="N25" i="4"/>
  <c r="F25" i="4"/>
  <c r="BJ24" i="6"/>
  <c r="BB24" i="6"/>
  <c r="AT24" i="6"/>
  <c r="AL24" i="6"/>
  <c r="AD24" i="6"/>
  <c r="V24" i="6"/>
  <c r="N24" i="6"/>
  <c r="F24" i="6"/>
  <c r="BC24" i="6"/>
  <c r="O24" i="6"/>
  <c r="BA24" i="6"/>
  <c r="AK24" i="6"/>
  <c r="AC24" i="6"/>
  <c r="U24" i="6"/>
  <c r="E24" i="6"/>
  <c r="BJ14" i="4"/>
  <c r="BB14" i="4"/>
  <c r="AJ26" i="8"/>
  <c r="Y25" i="4"/>
  <c r="AE25" i="4"/>
  <c r="AP25" i="4"/>
  <c r="AH25" i="4"/>
  <c r="BD25" i="4"/>
  <c r="L25" i="4"/>
  <c r="D25" i="4"/>
  <c r="BH24" i="6"/>
  <c r="AZ24" i="6"/>
  <c r="AR24" i="6"/>
  <c r="AJ24" i="6"/>
  <c r="AB24" i="6"/>
  <c r="T24" i="6"/>
  <c r="L24" i="6"/>
  <c r="D24" i="6"/>
  <c r="U26" i="8"/>
  <c r="AQ32" i="8"/>
  <c r="BI14" i="4"/>
  <c r="BA14" i="4"/>
  <c r="AB26" i="8"/>
  <c r="X25" i="4"/>
  <c r="AF25" i="4"/>
  <c r="AO25" i="4"/>
  <c r="AV25" i="4"/>
  <c r="BC25" i="4"/>
  <c r="K25" i="4"/>
  <c r="BG24" i="6"/>
  <c r="AY24" i="6"/>
  <c r="AQ24" i="6"/>
  <c r="AI24" i="6"/>
  <c r="AA24" i="6"/>
  <c r="S24" i="6"/>
  <c r="K24" i="6"/>
  <c r="BH20" i="8"/>
  <c r="C24" i="6"/>
  <c r="T26" i="8"/>
  <c r="BH14" i="4"/>
  <c r="AZ14" i="4"/>
  <c r="C3" i="6"/>
  <c r="W25" i="4"/>
  <c r="AG25" i="4"/>
  <c r="AN25" i="4"/>
  <c r="BJ25" i="4"/>
  <c r="BB25" i="4"/>
  <c r="C25" i="4"/>
  <c r="J25" i="4"/>
  <c r="BF24" i="6"/>
  <c r="AX24" i="6"/>
  <c r="AP24" i="6"/>
  <c r="AH24" i="6"/>
  <c r="Z24" i="6"/>
  <c r="R24" i="6"/>
  <c r="J24" i="6"/>
  <c r="B34" i="8"/>
  <c r="B35" i="8" s="1"/>
  <c r="AQ26" i="8"/>
  <c r="BG14" i="4"/>
  <c r="AY14" i="4"/>
  <c r="AD25" i="4"/>
  <c r="V25" i="4"/>
  <c r="AU25" i="4"/>
  <c r="AM25" i="4"/>
  <c r="BI25" i="4"/>
  <c r="BA25" i="4"/>
  <c r="Q25" i="4"/>
  <c r="I25" i="4"/>
  <c r="BE24" i="6"/>
  <c r="AW24" i="6"/>
  <c r="AO24" i="6"/>
  <c r="AG24" i="6"/>
  <c r="Y24" i="6"/>
  <c r="Q24" i="6"/>
  <c r="I24" i="6"/>
  <c r="AI26" i="8"/>
  <c r="W26" i="8"/>
  <c r="AS25" i="4"/>
  <c r="AK25" i="4"/>
  <c r="AU24" i="6"/>
  <c r="AE24" i="6"/>
  <c r="G24" i="6"/>
  <c r="AQ25" i="4"/>
  <c r="AI25" i="4"/>
  <c r="BE25" i="4"/>
  <c r="M25" i="4"/>
  <c r="BI24" i="6"/>
  <c r="AS24" i="6"/>
  <c r="M24" i="6"/>
  <c r="BF14" i="4"/>
  <c r="AX14" i="4"/>
  <c r="AC25" i="4"/>
  <c r="AT25" i="4"/>
  <c r="BH25" i="4"/>
  <c r="P25" i="4"/>
  <c r="BD24" i="6"/>
  <c r="AV24" i="6"/>
  <c r="AN24" i="6"/>
  <c r="AF24" i="6"/>
  <c r="X24" i="6"/>
  <c r="P24" i="6"/>
  <c r="AA26" i="8"/>
  <c r="E26" i="8"/>
  <c r="J26" i="8"/>
  <c r="N26" i="8"/>
  <c r="O26" i="8"/>
  <c r="P26" i="8"/>
  <c r="C26" i="8"/>
  <c r="R26" i="8"/>
  <c r="K26" i="8"/>
  <c r="L26" i="8"/>
  <c r="D26" i="8"/>
  <c r="F26" i="8"/>
  <c r="G26" i="8"/>
  <c r="H26" i="8"/>
  <c r="Q26" i="8"/>
  <c r="I26" i="8"/>
  <c r="AY26" i="8"/>
  <c r="BG26" i="8"/>
  <c r="AZ26" i="8"/>
  <c r="BG20" i="8"/>
  <c r="BF26" i="8"/>
  <c r="AX26" i="8"/>
  <c r="AP26" i="8"/>
  <c r="AW26" i="8"/>
  <c r="AG26" i="8"/>
  <c r="AV26" i="8"/>
  <c r="AN26" i="8"/>
  <c r="X26" i="8"/>
  <c r="AU26" i="8"/>
  <c r="AE26" i="8"/>
  <c r="BJ26" i="8"/>
  <c r="AT26" i="8"/>
  <c r="BJ20" i="8"/>
  <c r="BI26" i="8"/>
  <c r="BA26" i="8"/>
  <c r="AS26" i="8"/>
  <c r="AK26" i="8"/>
  <c r="AC26" i="8"/>
  <c r="BF20" i="8"/>
  <c r="BE26" i="8"/>
  <c r="AO26" i="8"/>
  <c r="BD26" i="8"/>
  <c r="AF26" i="8"/>
  <c r="BC26" i="8"/>
  <c r="AM26" i="8"/>
  <c r="BB26" i="8"/>
  <c r="AL26" i="8"/>
  <c r="AD26" i="8"/>
  <c r="BI20" i="8"/>
  <c r="BH26" i="8"/>
  <c r="AR26" i="8"/>
  <c r="M26" i="8"/>
  <c r="E13" i="3"/>
  <c r="AO19" i="4"/>
  <c r="Q19" i="4"/>
  <c r="BE19" i="4"/>
  <c r="AG19" i="4"/>
  <c r="Y19" i="4"/>
  <c r="AW19" i="4"/>
  <c r="BD19" i="4"/>
  <c r="X19" i="4"/>
  <c r="BC19" i="4"/>
  <c r="AU19" i="4"/>
  <c r="AM19" i="4"/>
  <c r="AE19" i="4"/>
  <c r="W19" i="4"/>
  <c r="BJ19" i="4"/>
  <c r="AD19" i="4"/>
  <c r="BI19" i="4"/>
  <c r="BA19" i="4"/>
  <c r="AS19" i="4"/>
  <c r="AK19" i="4"/>
  <c r="AC19" i="4"/>
  <c r="U19" i="4"/>
  <c r="BH19" i="4"/>
  <c r="AR19" i="4"/>
  <c r="AB19" i="4"/>
  <c r="AA20" i="8"/>
  <c r="BG19" i="4"/>
  <c r="AY19" i="4"/>
  <c r="AQ19" i="4"/>
  <c r="AI19" i="4"/>
  <c r="AA19" i="4"/>
  <c r="S19" i="4"/>
  <c r="S20" i="8"/>
  <c r="AV19" i="4"/>
  <c r="AN19" i="4"/>
  <c r="AF19" i="4"/>
  <c r="BB19" i="4"/>
  <c r="AT19" i="4"/>
  <c r="AL19" i="4"/>
  <c r="V19" i="4"/>
  <c r="AZ19" i="4"/>
  <c r="AJ19" i="4"/>
  <c r="T19" i="4"/>
  <c r="BF19" i="4"/>
  <c r="AX19" i="4"/>
  <c r="AP19" i="4"/>
  <c r="AH19" i="4"/>
  <c r="Z19" i="4"/>
  <c r="R19" i="4"/>
  <c r="E13" i="8"/>
  <c r="E17" i="8" s="1"/>
  <c r="E20" i="8"/>
  <c r="M20" i="8"/>
  <c r="U20" i="8"/>
  <c r="AC20" i="8"/>
  <c r="AK20" i="8"/>
  <c r="AS20" i="8"/>
  <c r="BA20" i="8"/>
  <c r="Q20" i="8"/>
  <c r="BE20" i="8"/>
  <c r="F20" i="8"/>
  <c r="N20" i="8"/>
  <c r="V20" i="8"/>
  <c r="AD20" i="8"/>
  <c r="AL20" i="8"/>
  <c r="AT20" i="8"/>
  <c r="BB20" i="8"/>
  <c r="I20" i="8"/>
  <c r="AG20" i="8"/>
  <c r="AW20" i="8"/>
  <c r="G20" i="8"/>
  <c r="O20" i="8"/>
  <c r="W20" i="8"/>
  <c r="AE20" i="8"/>
  <c r="AM20" i="8"/>
  <c r="AU20" i="8"/>
  <c r="BC20" i="8"/>
  <c r="Y20" i="8"/>
  <c r="AO20" i="8"/>
  <c r="H20" i="8"/>
  <c r="P20" i="8"/>
  <c r="X20" i="8"/>
  <c r="AF20" i="8"/>
  <c r="AN20" i="8"/>
  <c r="AV20" i="8"/>
  <c r="BD20" i="8"/>
  <c r="J20" i="8"/>
  <c r="R20" i="8"/>
  <c r="Z20" i="8"/>
  <c r="AH20" i="8"/>
  <c r="AP20" i="8"/>
  <c r="AX20" i="8"/>
  <c r="D20" i="8"/>
  <c r="L20" i="8"/>
  <c r="T20" i="8"/>
  <c r="AB20" i="8"/>
  <c r="AJ20" i="8"/>
  <c r="AR20" i="8"/>
  <c r="AZ20" i="8"/>
  <c r="AY20" i="8"/>
  <c r="AQ20" i="8"/>
  <c r="AI20" i="8"/>
  <c r="D15" i="6"/>
  <c r="D23" i="6" s="1"/>
  <c r="B30" i="6"/>
  <c r="B16" i="6"/>
  <c r="C18" i="6" s="1"/>
  <c r="V12" i="6"/>
  <c r="F12" i="6"/>
  <c r="E15" i="6"/>
  <c r="E23" i="6" s="1"/>
  <c r="C15" i="6"/>
  <c r="C23" i="6" s="1"/>
  <c r="R12" i="4"/>
  <c r="G19" i="4"/>
  <c r="O19" i="4"/>
  <c r="N19" i="4"/>
  <c r="M19" i="4"/>
  <c r="L19" i="4"/>
  <c r="K19" i="4"/>
  <c r="F19" i="4"/>
  <c r="E19" i="4"/>
  <c r="J19" i="4"/>
  <c r="D19" i="4"/>
  <c r="I19" i="4"/>
  <c r="P19" i="4"/>
  <c r="E13" i="1"/>
  <c r="F12" i="1"/>
  <c r="F11" i="1"/>
  <c r="BF9" i="8" l="1"/>
  <c r="BE12" i="8"/>
  <c r="AA9" i="8"/>
  <c r="Z12" i="8"/>
  <c r="AA13" i="8"/>
  <c r="AP9" i="8"/>
  <c r="AO12" i="8"/>
  <c r="B31" i="4"/>
  <c r="B17" i="4"/>
  <c r="S15" i="6"/>
  <c r="S23" i="6" s="1"/>
  <c r="W31" i="4"/>
  <c r="AQ17" i="4"/>
  <c r="AQ31" i="4" s="1"/>
  <c r="S12" i="4"/>
  <c r="B24" i="4"/>
  <c r="R14" i="4"/>
  <c r="S14" i="4" s="1"/>
  <c r="T14" i="4" s="1"/>
  <c r="U14" i="4" s="1"/>
  <c r="V14" i="4" s="1"/>
  <c r="C16" i="4"/>
  <c r="S13" i="8"/>
  <c r="R17" i="8"/>
  <c r="T15" i="6"/>
  <c r="T23" i="6" s="1"/>
  <c r="D12" i="4"/>
  <c r="BK25" i="4"/>
  <c r="BK24" i="6"/>
  <c r="BK26" i="8"/>
  <c r="C25" i="8"/>
  <c r="C13" i="4"/>
  <c r="R13" i="4"/>
  <c r="S13" i="4" s="1"/>
  <c r="T13" i="4" s="1"/>
  <c r="U13" i="4" s="1"/>
  <c r="V13" i="4" s="1"/>
  <c r="F13" i="8"/>
  <c r="F17" i="8" s="1"/>
  <c r="I18" i="6"/>
  <c r="Q18" i="6"/>
  <c r="Y18" i="6"/>
  <c r="AG18" i="6"/>
  <c r="AO18" i="6"/>
  <c r="AW18" i="6"/>
  <c r="BE18" i="6"/>
  <c r="L18" i="6"/>
  <c r="AJ18" i="6"/>
  <c r="BH18" i="6"/>
  <c r="U18" i="6"/>
  <c r="BA18" i="6"/>
  <c r="N18" i="6"/>
  <c r="AT18" i="6"/>
  <c r="BJ18" i="6"/>
  <c r="W18" i="6"/>
  <c r="AU18" i="6"/>
  <c r="P18" i="6"/>
  <c r="AF18" i="6"/>
  <c r="AV18" i="6"/>
  <c r="J18" i="6"/>
  <c r="R18" i="6"/>
  <c r="Z18" i="6"/>
  <c r="AH18" i="6"/>
  <c r="AP18" i="6"/>
  <c r="AX18" i="6"/>
  <c r="BF18" i="6"/>
  <c r="D18" i="6"/>
  <c r="AB18" i="6"/>
  <c r="AZ18" i="6"/>
  <c r="E18" i="6"/>
  <c r="AK18" i="6"/>
  <c r="BI18" i="6"/>
  <c r="F18" i="6"/>
  <c r="V18" i="6"/>
  <c r="AD18" i="6"/>
  <c r="BB18" i="6"/>
  <c r="G18" i="6"/>
  <c r="AE18" i="6"/>
  <c r="BC18" i="6"/>
  <c r="BD18" i="6"/>
  <c r="K18" i="6"/>
  <c r="S18" i="6"/>
  <c r="AA18" i="6"/>
  <c r="AI18" i="6"/>
  <c r="AQ18" i="6"/>
  <c r="AY18" i="6"/>
  <c r="BG18" i="6"/>
  <c r="T18" i="6"/>
  <c r="AR18" i="6"/>
  <c r="M18" i="6"/>
  <c r="AC18" i="6"/>
  <c r="AS18" i="6"/>
  <c r="AL18" i="6"/>
  <c r="O18" i="6"/>
  <c r="AM18" i="6"/>
  <c r="H18" i="6"/>
  <c r="X18" i="6"/>
  <c r="AN18" i="6"/>
  <c r="F15" i="6"/>
  <c r="F23" i="6" s="1"/>
  <c r="G12" i="6"/>
  <c r="V15" i="6"/>
  <c r="V23" i="6" s="1"/>
  <c r="W12" i="6"/>
  <c r="B37" i="6"/>
  <c r="B32" i="6"/>
  <c r="AQ9" i="4"/>
  <c r="AR9" i="4" s="1"/>
  <c r="AS9" i="4" s="1"/>
  <c r="AT9" i="4" s="1"/>
  <c r="E14" i="1"/>
  <c r="F13" i="1"/>
  <c r="W15" i="8" l="1"/>
  <c r="AB13" i="8"/>
  <c r="AB9" i="8"/>
  <c r="AA12" i="8"/>
  <c r="AQ9" i="8"/>
  <c r="AP12" i="8"/>
  <c r="BF12" i="8"/>
  <c r="BG9" i="8"/>
  <c r="AW9" i="4"/>
  <c r="AX9" i="4" s="1"/>
  <c r="AY9" i="4" s="1"/>
  <c r="AZ9" i="4" s="1"/>
  <c r="BA9" i="4" s="1"/>
  <c r="BB9" i="4" s="1"/>
  <c r="BC9" i="4" s="1"/>
  <c r="BD9" i="4" s="1"/>
  <c r="BE9" i="4" s="1"/>
  <c r="BF9" i="4" s="1"/>
  <c r="BG9" i="4" s="1"/>
  <c r="BH9" i="4" s="1"/>
  <c r="BI9" i="4" s="1"/>
  <c r="BJ9" i="4" s="1"/>
  <c r="T13" i="8"/>
  <c r="S17" i="8"/>
  <c r="W14" i="4"/>
  <c r="X14" i="4" s="1"/>
  <c r="Y14" i="4" s="1"/>
  <c r="Z14" i="4" s="1"/>
  <c r="AA14" i="4" s="1"/>
  <c r="AB14" i="4" s="1"/>
  <c r="AC14" i="4" s="1"/>
  <c r="AD14" i="4" s="1"/>
  <c r="AE14" i="4" s="1"/>
  <c r="AF14" i="4" s="1"/>
  <c r="W13" i="4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R16" i="4"/>
  <c r="T12" i="4"/>
  <c r="S16" i="4"/>
  <c r="S24" i="4" s="1"/>
  <c r="E12" i="4"/>
  <c r="D16" i="4"/>
  <c r="AQ10" i="4"/>
  <c r="AR10" i="4" s="1"/>
  <c r="AS10" i="4" s="1"/>
  <c r="AT10" i="4" s="1"/>
  <c r="AW10" i="4" s="1"/>
  <c r="AX10" i="4" s="1"/>
  <c r="AY10" i="4" s="1"/>
  <c r="AZ10" i="4" s="1"/>
  <c r="BA10" i="4" s="1"/>
  <c r="BB10" i="4" s="1"/>
  <c r="BC10" i="4" s="1"/>
  <c r="BD10" i="4" s="1"/>
  <c r="BE10" i="4" s="1"/>
  <c r="BF10" i="4" s="1"/>
  <c r="BG10" i="4" s="1"/>
  <c r="BH10" i="4" s="1"/>
  <c r="BI10" i="4" s="1"/>
  <c r="BJ10" i="4" s="1"/>
  <c r="R24" i="4"/>
  <c r="R25" i="8"/>
  <c r="D13" i="4"/>
  <c r="C24" i="4"/>
  <c r="D25" i="8"/>
  <c r="B33" i="4"/>
  <c r="B38" i="4"/>
  <c r="G13" i="8"/>
  <c r="G17" i="8" s="1"/>
  <c r="B33" i="6"/>
  <c r="G15" i="6"/>
  <c r="G23" i="6" s="1"/>
  <c r="H12" i="6"/>
  <c r="W15" i="6"/>
  <c r="W23" i="6" s="1"/>
  <c r="X12" i="6"/>
  <c r="F14" i="1"/>
  <c r="E15" i="1"/>
  <c r="X15" i="8" l="1"/>
  <c r="W17" i="8"/>
  <c r="BG12" i="8"/>
  <c r="BH9" i="8"/>
  <c r="AR9" i="8"/>
  <c r="AQ12" i="8"/>
  <c r="AC9" i="8"/>
  <c r="AB12" i="8"/>
  <c r="AC13" i="8"/>
  <c r="F12" i="4"/>
  <c r="U12" i="4"/>
  <c r="T16" i="4"/>
  <c r="T24" i="4" s="1"/>
  <c r="U13" i="8"/>
  <c r="T17" i="8"/>
  <c r="B34" i="4"/>
  <c r="E25" i="8"/>
  <c r="S25" i="8"/>
  <c r="E13" i="4"/>
  <c r="E16" i="4" s="1"/>
  <c r="D24" i="4"/>
  <c r="H13" i="8"/>
  <c r="H17" i="8" s="1"/>
  <c r="H15" i="6"/>
  <c r="H23" i="6" s="1"/>
  <c r="I12" i="6"/>
  <c r="X15" i="6"/>
  <c r="X23" i="6" s="1"/>
  <c r="Y12" i="6"/>
  <c r="F15" i="1"/>
  <c r="E16" i="1"/>
  <c r="Y15" i="8" l="1"/>
  <c r="X17" i="8"/>
  <c r="AC12" i="8"/>
  <c r="AD9" i="8"/>
  <c r="BH12" i="8"/>
  <c r="BI9" i="8"/>
  <c r="AD13" i="8"/>
  <c r="AR12" i="8"/>
  <c r="AS9" i="8"/>
  <c r="G12" i="4"/>
  <c r="V12" i="4"/>
  <c r="U16" i="4"/>
  <c r="U24" i="4" s="1"/>
  <c r="F31" i="1"/>
  <c r="H31" i="1"/>
  <c r="U17" i="8"/>
  <c r="V13" i="8"/>
  <c r="F34" i="1"/>
  <c r="T25" i="8"/>
  <c r="F13" i="4"/>
  <c r="F16" i="4" s="1"/>
  <c r="E24" i="4"/>
  <c r="F25" i="8"/>
  <c r="I13" i="8"/>
  <c r="I17" i="8" s="1"/>
  <c r="I15" i="6"/>
  <c r="I23" i="6" s="1"/>
  <c r="J12" i="6"/>
  <c r="Y15" i="6"/>
  <c r="Y23" i="6" s="1"/>
  <c r="Z12" i="6"/>
  <c r="F16" i="1"/>
  <c r="E17" i="1"/>
  <c r="D34" i="1" s="1"/>
  <c r="Z15" i="8" l="1"/>
  <c r="Y17" i="8"/>
  <c r="AS12" i="8"/>
  <c r="AT9" i="8"/>
  <c r="AE13" i="8"/>
  <c r="BI12" i="8"/>
  <c r="BJ9" i="8"/>
  <c r="BJ12" i="8" s="1"/>
  <c r="AD12" i="8"/>
  <c r="AE9" i="8"/>
  <c r="H34" i="1"/>
  <c r="V17" i="8"/>
  <c r="W12" i="4"/>
  <c r="V16" i="4"/>
  <c r="V24" i="4" s="1"/>
  <c r="D31" i="1"/>
  <c r="B31" i="1"/>
  <c r="H12" i="4"/>
  <c r="G16" i="4"/>
  <c r="I3" i="8"/>
  <c r="I3" i="4"/>
  <c r="I3" i="6"/>
  <c r="J3" i="8"/>
  <c r="J3" i="4"/>
  <c r="J3" i="6"/>
  <c r="K3" i="6"/>
  <c r="K3" i="4"/>
  <c r="K3" i="8"/>
  <c r="I2" i="8"/>
  <c r="I2" i="6"/>
  <c r="R8" i="4"/>
  <c r="R9" i="8"/>
  <c r="R8" i="6"/>
  <c r="J2" i="6"/>
  <c r="J2" i="8"/>
  <c r="J2" i="4"/>
  <c r="AG8" i="4"/>
  <c r="AG8" i="6"/>
  <c r="K2" i="8"/>
  <c r="K2" i="4"/>
  <c r="K2" i="6"/>
  <c r="AV8" i="4"/>
  <c r="AV8" i="6"/>
  <c r="H2" i="4"/>
  <c r="H2" i="6"/>
  <c r="H2" i="8"/>
  <c r="C9" i="8"/>
  <c r="H3" i="4"/>
  <c r="H3" i="6"/>
  <c r="H3" i="8"/>
  <c r="G25" i="8"/>
  <c r="G13" i="4"/>
  <c r="F24" i="4"/>
  <c r="U25" i="8"/>
  <c r="J13" i="8"/>
  <c r="J17" i="8" s="1"/>
  <c r="Z15" i="6"/>
  <c r="Z23" i="6" s="1"/>
  <c r="AA12" i="6"/>
  <c r="J15" i="6"/>
  <c r="J23" i="6" s="1"/>
  <c r="K12" i="6"/>
  <c r="I2" i="4"/>
  <c r="AA15" i="8" l="1"/>
  <c r="Z17" i="8"/>
  <c r="AE12" i="8"/>
  <c r="AF9" i="8"/>
  <c r="AF12" i="8" s="1"/>
  <c r="AF13" i="8"/>
  <c r="AT12" i="8"/>
  <c r="AU9" i="8"/>
  <c r="AU12" i="8" s="1"/>
  <c r="I12" i="4"/>
  <c r="H16" i="4"/>
  <c r="X12" i="4"/>
  <c r="W16" i="4"/>
  <c r="W24" i="4" s="1"/>
  <c r="C8" i="6"/>
  <c r="C11" i="6" s="1"/>
  <c r="C17" i="6" s="1"/>
  <c r="D9" i="8"/>
  <c r="C12" i="8"/>
  <c r="C19" i="8" s="1"/>
  <c r="D8" i="4"/>
  <c r="C11" i="4"/>
  <c r="C18" i="4" s="1"/>
  <c r="S9" i="8"/>
  <c r="R12" i="8"/>
  <c r="R19" i="8" s="1"/>
  <c r="AG11" i="6"/>
  <c r="AH8" i="6"/>
  <c r="R11" i="6"/>
  <c r="R17" i="6" s="1"/>
  <c r="S8" i="6"/>
  <c r="AV11" i="6"/>
  <c r="AW8" i="6"/>
  <c r="H13" i="4"/>
  <c r="G24" i="4"/>
  <c r="V25" i="8"/>
  <c r="H25" i="8"/>
  <c r="K13" i="8"/>
  <c r="K17" i="8" s="1"/>
  <c r="AA15" i="6"/>
  <c r="AA23" i="6" s="1"/>
  <c r="AB12" i="6"/>
  <c r="L12" i="6"/>
  <c r="K15" i="6"/>
  <c r="K23" i="6" s="1"/>
  <c r="S8" i="4"/>
  <c r="T8" i="4" s="1"/>
  <c r="U8" i="4" s="1"/>
  <c r="V8" i="4" s="1"/>
  <c r="R11" i="4"/>
  <c r="R18" i="4" s="1"/>
  <c r="AB15" i="8" l="1"/>
  <c r="AA17" i="8"/>
  <c r="AG13" i="8"/>
  <c r="J12" i="4"/>
  <c r="Y12" i="4"/>
  <c r="X16" i="4"/>
  <c r="X24" i="4" s="1"/>
  <c r="D8" i="6"/>
  <c r="E8" i="6" s="1"/>
  <c r="AW11" i="6"/>
  <c r="AX8" i="6"/>
  <c r="R31" i="8"/>
  <c r="R21" i="8"/>
  <c r="X8" i="4"/>
  <c r="Y8" i="4" s="1"/>
  <c r="Z8" i="4" s="1"/>
  <c r="AA8" i="4" s="1"/>
  <c r="AB8" i="4" s="1"/>
  <c r="AC8" i="4" s="1"/>
  <c r="AD8" i="4" s="1"/>
  <c r="AE8" i="4" s="1"/>
  <c r="AF8" i="4" s="1"/>
  <c r="T9" i="8"/>
  <c r="S12" i="8"/>
  <c r="S19" i="8" s="1"/>
  <c r="C30" i="4"/>
  <c r="C20" i="4"/>
  <c r="R29" i="6"/>
  <c r="R19" i="6"/>
  <c r="E8" i="4"/>
  <c r="D11" i="4"/>
  <c r="D18" i="4" s="1"/>
  <c r="S11" i="6"/>
  <c r="S17" i="6" s="1"/>
  <c r="T8" i="6"/>
  <c r="AH11" i="6"/>
  <c r="AI8" i="6"/>
  <c r="C31" i="8"/>
  <c r="C21" i="8"/>
  <c r="C29" i="6"/>
  <c r="C19" i="6"/>
  <c r="D12" i="8"/>
  <c r="D19" i="8" s="1"/>
  <c r="E9" i="8"/>
  <c r="I25" i="8"/>
  <c r="W25" i="8"/>
  <c r="I13" i="4"/>
  <c r="I16" i="4" s="1"/>
  <c r="H24" i="4"/>
  <c r="L13" i="8"/>
  <c r="L17" i="8" s="1"/>
  <c r="AC12" i="6"/>
  <c r="AB15" i="6"/>
  <c r="AB23" i="6" s="1"/>
  <c r="M12" i="6"/>
  <c r="L15" i="6"/>
  <c r="L23" i="6" s="1"/>
  <c r="R20" i="4"/>
  <c r="R30" i="4"/>
  <c r="S11" i="4"/>
  <c r="S18" i="4" s="1"/>
  <c r="AC15" i="8" l="1"/>
  <c r="AB17" i="8"/>
  <c r="D11" i="6"/>
  <c r="D17" i="6" s="1"/>
  <c r="AG17" i="8"/>
  <c r="AH13" i="8"/>
  <c r="K12" i="4"/>
  <c r="Z12" i="4"/>
  <c r="Y16" i="4"/>
  <c r="Y24" i="4" s="1"/>
  <c r="S31" i="8"/>
  <c r="S21" i="8"/>
  <c r="U9" i="8"/>
  <c r="T12" i="8"/>
  <c r="T19" i="8" s="1"/>
  <c r="D31" i="8"/>
  <c r="D21" i="8"/>
  <c r="E11" i="6"/>
  <c r="E17" i="6" s="1"/>
  <c r="F8" i="6"/>
  <c r="AJ8" i="6"/>
  <c r="AI11" i="6"/>
  <c r="W19" i="8"/>
  <c r="W31" i="8" s="1"/>
  <c r="C20" i="6"/>
  <c r="C31" i="6" s="1"/>
  <c r="C32" i="6" s="1"/>
  <c r="T11" i="6"/>
  <c r="T17" i="6" s="1"/>
  <c r="U8" i="6"/>
  <c r="R22" i="8"/>
  <c r="R33" i="8" s="1"/>
  <c r="R34" i="8" s="1"/>
  <c r="R37" i="8" s="1"/>
  <c r="D19" i="6"/>
  <c r="D29" i="6"/>
  <c r="S29" i="6"/>
  <c r="S19" i="6"/>
  <c r="F9" i="8"/>
  <c r="E12" i="8"/>
  <c r="E19" i="8" s="1"/>
  <c r="C22" i="8"/>
  <c r="C33" i="8" s="1"/>
  <c r="C34" i="8" s="1"/>
  <c r="D20" i="4"/>
  <c r="D30" i="4"/>
  <c r="AX11" i="6"/>
  <c r="AY8" i="6"/>
  <c r="R20" i="6"/>
  <c r="R31" i="6" s="1"/>
  <c r="R32" i="6" s="1"/>
  <c r="C21" i="4"/>
  <c r="C32" i="4" s="1"/>
  <c r="F8" i="4"/>
  <c r="E11" i="4"/>
  <c r="E18" i="4" s="1"/>
  <c r="X25" i="8"/>
  <c r="J13" i="4"/>
  <c r="J16" i="4" s="1"/>
  <c r="I24" i="4"/>
  <c r="J25" i="8"/>
  <c r="M13" i="8"/>
  <c r="M17" i="8" s="1"/>
  <c r="N12" i="6"/>
  <c r="M15" i="6"/>
  <c r="M23" i="6" s="1"/>
  <c r="AD12" i="6"/>
  <c r="AC15" i="6"/>
  <c r="AC23" i="6" s="1"/>
  <c r="S20" i="4"/>
  <c r="S30" i="4"/>
  <c r="T11" i="4"/>
  <c r="T18" i="4" s="1"/>
  <c r="R21" i="4"/>
  <c r="R32" i="4" s="1"/>
  <c r="R33" i="4" s="1"/>
  <c r="R36" i="4" s="1"/>
  <c r="AD15" i="8" l="1"/>
  <c r="AC17" i="8"/>
  <c r="AI13" i="8"/>
  <c r="AH17" i="8"/>
  <c r="AA12" i="4"/>
  <c r="Z16" i="4"/>
  <c r="Z24" i="4" s="1"/>
  <c r="L12" i="4"/>
  <c r="K16" i="4"/>
  <c r="C21" i="6"/>
  <c r="C23" i="8"/>
  <c r="R23" i="8"/>
  <c r="C22" i="4"/>
  <c r="R21" i="6"/>
  <c r="R35" i="6"/>
  <c r="E29" i="6"/>
  <c r="E19" i="6"/>
  <c r="G8" i="4"/>
  <c r="F11" i="4"/>
  <c r="F18" i="4" s="1"/>
  <c r="D21" i="4"/>
  <c r="D32" i="4" s="1"/>
  <c r="D33" i="4" s="1"/>
  <c r="D20" i="6"/>
  <c r="D31" i="6" s="1"/>
  <c r="D32" i="6" s="1"/>
  <c r="D35" i="6" s="1"/>
  <c r="C35" i="6"/>
  <c r="C33" i="6"/>
  <c r="D22" i="8"/>
  <c r="D33" i="8" s="1"/>
  <c r="D34" i="8" s="1"/>
  <c r="C35" i="8"/>
  <c r="C37" i="8"/>
  <c r="X19" i="8"/>
  <c r="X31" i="8" s="1"/>
  <c r="T31" i="8"/>
  <c r="T21" i="8"/>
  <c r="E31" i="8"/>
  <c r="E21" i="8"/>
  <c r="U12" i="8"/>
  <c r="U19" i="8" s="1"/>
  <c r="V9" i="8"/>
  <c r="V12" i="8" s="1"/>
  <c r="V19" i="8" s="1"/>
  <c r="E20" i="4"/>
  <c r="E30" i="4"/>
  <c r="G9" i="8"/>
  <c r="F12" i="8"/>
  <c r="F19" i="8" s="1"/>
  <c r="AK8" i="6"/>
  <c r="AJ11" i="6"/>
  <c r="S20" i="6"/>
  <c r="S31" i="6" s="1"/>
  <c r="S32" i="6" s="1"/>
  <c r="S35" i="6" s="1"/>
  <c r="S21" i="6"/>
  <c r="U11" i="6"/>
  <c r="U17" i="6" s="1"/>
  <c r="V8" i="6"/>
  <c r="S22" i="8"/>
  <c r="S33" i="8" s="1"/>
  <c r="S34" i="8" s="1"/>
  <c r="S37" i="8" s="1"/>
  <c r="AZ8" i="6"/>
  <c r="AY11" i="6"/>
  <c r="C33" i="4"/>
  <c r="T29" i="6"/>
  <c r="T19" i="6"/>
  <c r="F11" i="6"/>
  <c r="F17" i="6" s="1"/>
  <c r="G8" i="6"/>
  <c r="Y25" i="8"/>
  <c r="K13" i="4"/>
  <c r="J24" i="4"/>
  <c r="K25" i="8"/>
  <c r="W21" i="8"/>
  <c r="W22" i="8" s="1"/>
  <c r="W33" i="8" s="1"/>
  <c r="N13" i="8"/>
  <c r="N17" i="8" s="1"/>
  <c r="AD15" i="6"/>
  <c r="AD23" i="6" s="1"/>
  <c r="AE12" i="6"/>
  <c r="N15" i="6"/>
  <c r="N23" i="6" s="1"/>
  <c r="O12" i="6"/>
  <c r="R22" i="4"/>
  <c r="T20" i="4"/>
  <c r="T30" i="4"/>
  <c r="U11" i="4"/>
  <c r="U18" i="4" s="1"/>
  <c r="S21" i="4"/>
  <c r="S32" i="4" s="1"/>
  <c r="S33" i="4" s="1"/>
  <c r="S36" i="4" s="1"/>
  <c r="AE15" i="8" l="1"/>
  <c r="AD17" i="8"/>
  <c r="C34" i="4"/>
  <c r="W34" i="8"/>
  <c r="W37" i="8" s="1"/>
  <c r="D33" i="6"/>
  <c r="AI17" i="8"/>
  <c r="AJ13" i="8"/>
  <c r="M12" i="4"/>
  <c r="AB12" i="4"/>
  <c r="AA16" i="4"/>
  <c r="AA24" i="4" s="1"/>
  <c r="D21" i="6"/>
  <c r="D22" i="4"/>
  <c r="D23" i="8"/>
  <c r="F29" i="6"/>
  <c r="F19" i="6"/>
  <c r="D34" i="4"/>
  <c r="D36" i="4"/>
  <c r="AK11" i="6"/>
  <c r="AL8" i="6"/>
  <c r="U31" i="8"/>
  <c r="U21" i="8"/>
  <c r="T20" i="6"/>
  <c r="T31" i="6" s="1"/>
  <c r="T32" i="6" s="1"/>
  <c r="T35" i="6" s="1"/>
  <c r="S23" i="8"/>
  <c r="E22" i="8"/>
  <c r="E33" i="8" s="1"/>
  <c r="E34" i="8" s="1"/>
  <c r="C36" i="4"/>
  <c r="F20" i="4"/>
  <c r="F30" i="4"/>
  <c r="V11" i="6"/>
  <c r="V17" i="6" s="1"/>
  <c r="W8" i="6"/>
  <c r="F31" i="8"/>
  <c r="F21" i="8"/>
  <c r="T22" i="8"/>
  <c r="T33" i="8" s="1"/>
  <c r="T34" i="8" s="1"/>
  <c r="T37" i="8" s="1"/>
  <c r="T23" i="8"/>
  <c r="D37" i="8"/>
  <c r="D35" i="8"/>
  <c r="H8" i="4"/>
  <c r="G11" i="4"/>
  <c r="G18" i="4" s="1"/>
  <c r="U29" i="6"/>
  <c r="U19" i="6"/>
  <c r="G12" i="8"/>
  <c r="G19" i="8" s="1"/>
  <c r="H9" i="8"/>
  <c r="E20" i="6"/>
  <c r="E31" i="6" s="1"/>
  <c r="E32" i="6" s="1"/>
  <c r="E21" i="4"/>
  <c r="E32" i="4" s="1"/>
  <c r="E33" i="4" s="1"/>
  <c r="Y19" i="8"/>
  <c r="Y31" i="8" s="1"/>
  <c r="G11" i="6"/>
  <c r="G17" i="6" s="1"/>
  <c r="H8" i="6"/>
  <c r="AZ11" i="6"/>
  <c r="BA8" i="6"/>
  <c r="V31" i="8"/>
  <c r="V21" i="8"/>
  <c r="W23" i="8"/>
  <c r="L25" i="8"/>
  <c r="Z25" i="8"/>
  <c r="L13" i="4"/>
  <c r="L16" i="4" s="1"/>
  <c r="K24" i="4"/>
  <c r="X21" i="8"/>
  <c r="X22" i="8" s="1"/>
  <c r="X33" i="8" s="1"/>
  <c r="X34" i="8" s="1"/>
  <c r="X37" i="8" s="1"/>
  <c r="O13" i="8"/>
  <c r="O17" i="8" s="1"/>
  <c r="O15" i="6"/>
  <c r="O23" i="6" s="1"/>
  <c r="P12" i="6"/>
  <c r="AE15" i="6"/>
  <c r="AE23" i="6" s="1"/>
  <c r="AF12" i="6"/>
  <c r="S22" i="4"/>
  <c r="U20" i="4"/>
  <c r="U30" i="4"/>
  <c r="V11" i="4"/>
  <c r="V18" i="4" s="1"/>
  <c r="T21" i="4"/>
  <c r="T32" i="4" s="1"/>
  <c r="T33" i="4" s="1"/>
  <c r="T36" i="4" s="1"/>
  <c r="AF15" i="8" l="1"/>
  <c r="AF17" i="8" s="1"/>
  <c r="AE17" i="8"/>
  <c r="AJ17" i="8"/>
  <c r="AK13" i="8"/>
  <c r="AC12" i="4"/>
  <c r="AB16" i="4"/>
  <c r="AB24" i="4" s="1"/>
  <c r="N12" i="4"/>
  <c r="M16" i="4"/>
  <c r="E34" i="4"/>
  <c r="E36" i="4"/>
  <c r="Z19" i="8"/>
  <c r="Z31" i="8" s="1"/>
  <c r="I9" i="8"/>
  <c r="H12" i="8"/>
  <c r="H19" i="8" s="1"/>
  <c r="U22" i="8"/>
  <c r="U33" i="8" s="1"/>
  <c r="U34" i="8" s="1"/>
  <c r="U37" i="8" s="1"/>
  <c r="V22" i="8"/>
  <c r="V33" i="8" s="1"/>
  <c r="V34" i="8" s="1"/>
  <c r="V37" i="8" s="1"/>
  <c r="E22" i="4"/>
  <c r="G31" i="8"/>
  <c r="G21" i="8"/>
  <c r="F21" i="4"/>
  <c r="F32" i="4" s="1"/>
  <c r="F33" i="4" s="1"/>
  <c r="BB8" i="6"/>
  <c r="BA11" i="6"/>
  <c r="E23" i="8"/>
  <c r="U20" i="6"/>
  <c r="U31" i="6" s="1"/>
  <c r="U32" i="6" s="1"/>
  <c r="U35" i="6" s="1"/>
  <c r="F22" i="8"/>
  <c r="F33" i="8" s="1"/>
  <c r="F34" i="8" s="1"/>
  <c r="E35" i="8"/>
  <c r="E37" i="8"/>
  <c r="H11" i="6"/>
  <c r="H17" i="6" s="1"/>
  <c r="I8" i="6"/>
  <c r="AL11" i="6"/>
  <c r="AM8" i="6"/>
  <c r="G29" i="6"/>
  <c r="G19" i="6"/>
  <c r="E21" i="6"/>
  <c r="G30" i="4"/>
  <c r="G20" i="4"/>
  <c r="W11" i="6"/>
  <c r="W17" i="6" s="1"/>
  <c r="X8" i="6"/>
  <c r="T21" i="6"/>
  <c r="F20" i="6"/>
  <c r="F31" i="6" s="1"/>
  <c r="F32" i="6" s="1"/>
  <c r="E33" i="6"/>
  <c r="E35" i="6"/>
  <c r="I8" i="4"/>
  <c r="H11" i="4"/>
  <c r="H18" i="4" s="1"/>
  <c r="V29" i="6"/>
  <c r="V19" i="6"/>
  <c r="Y21" i="8"/>
  <c r="Y22" i="8" s="1"/>
  <c r="Y33" i="8" s="1"/>
  <c r="Y34" i="8" s="1"/>
  <c r="Y37" i="8" s="1"/>
  <c r="X23" i="8"/>
  <c r="AA25" i="8"/>
  <c r="M25" i="8"/>
  <c r="M13" i="4"/>
  <c r="L24" i="4"/>
  <c r="P13" i="8"/>
  <c r="P17" i="8" s="1"/>
  <c r="P15" i="6"/>
  <c r="P23" i="6" s="1"/>
  <c r="Q12" i="6"/>
  <c r="Q15" i="6" s="1"/>
  <c r="Q23" i="6" s="1"/>
  <c r="AF15" i="6"/>
  <c r="AF23" i="6" s="1"/>
  <c r="AG12" i="6"/>
  <c r="T22" i="4"/>
  <c r="V30" i="4"/>
  <c r="V20" i="4"/>
  <c r="W11" i="4"/>
  <c r="W18" i="4" s="1"/>
  <c r="U21" i="4"/>
  <c r="U32" i="4" s="1"/>
  <c r="U33" i="4" s="1"/>
  <c r="U36" i="4" s="1"/>
  <c r="F36" i="4" l="1"/>
  <c r="AK17" i="8"/>
  <c r="AL13" i="8"/>
  <c r="O12" i="4"/>
  <c r="AD12" i="4"/>
  <c r="AC16" i="4"/>
  <c r="AC24" i="4" s="1"/>
  <c r="F23" i="8"/>
  <c r="V23" i="8"/>
  <c r="U23" i="8"/>
  <c r="V20" i="6"/>
  <c r="V31" i="6" s="1"/>
  <c r="V32" i="6" s="1"/>
  <c r="V35" i="6" s="1"/>
  <c r="V21" i="6"/>
  <c r="BB11" i="6"/>
  <c r="BC8" i="6"/>
  <c r="X11" i="6"/>
  <c r="X17" i="6" s="1"/>
  <c r="Y8" i="6"/>
  <c r="F37" i="8"/>
  <c r="F35" i="8"/>
  <c r="F22" i="4"/>
  <c r="J8" i="4"/>
  <c r="I11" i="4"/>
  <c r="I18" i="4" s="1"/>
  <c r="G21" i="4"/>
  <c r="G32" i="4" s="1"/>
  <c r="G33" i="4" s="1"/>
  <c r="G22" i="8"/>
  <c r="G33" i="8" s="1"/>
  <c r="G34" i="8" s="1"/>
  <c r="J9" i="8"/>
  <c r="I12" i="8"/>
  <c r="I19" i="8" s="1"/>
  <c r="W19" i="6"/>
  <c r="W29" i="6"/>
  <c r="H31" i="8"/>
  <c r="H21" i="8"/>
  <c r="I11" i="6"/>
  <c r="I17" i="6" s="1"/>
  <c r="J8" i="6"/>
  <c r="U21" i="6"/>
  <c r="AA19" i="8"/>
  <c r="AA31" i="8" s="1"/>
  <c r="H29" i="6"/>
  <c r="H19" i="6"/>
  <c r="AN8" i="6"/>
  <c r="AM11" i="6"/>
  <c r="F21" i="6"/>
  <c r="G20" i="6"/>
  <c r="G31" i="6" s="1"/>
  <c r="G32" i="6" s="1"/>
  <c r="H30" i="4"/>
  <c r="H20" i="4"/>
  <c r="F33" i="6"/>
  <c r="F35" i="6"/>
  <c r="F34" i="4"/>
  <c r="Y23" i="8"/>
  <c r="N13" i="4"/>
  <c r="N16" i="4" s="1"/>
  <c r="M24" i="4"/>
  <c r="N25" i="8"/>
  <c r="AB25" i="8"/>
  <c r="Z21" i="8"/>
  <c r="Z22" i="8" s="1"/>
  <c r="Z33" i="8" s="1"/>
  <c r="Z34" i="8" s="1"/>
  <c r="Z37" i="8" s="1"/>
  <c r="Q13" i="8"/>
  <c r="Q17" i="8" s="1"/>
  <c r="AG15" i="6"/>
  <c r="AG23" i="6" s="1"/>
  <c r="AH12" i="6"/>
  <c r="U22" i="4"/>
  <c r="W30" i="4"/>
  <c r="W20" i="4"/>
  <c r="X11" i="4"/>
  <c r="X18" i="4" s="1"/>
  <c r="V21" i="4"/>
  <c r="V32" i="4" s="1"/>
  <c r="V33" i="4" s="1"/>
  <c r="V36" i="4" s="1"/>
  <c r="AM13" i="8" l="1"/>
  <c r="AL17" i="8"/>
  <c r="AE12" i="4"/>
  <c r="AD16" i="4"/>
  <c r="AD24" i="4" s="1"/>
  <c r="P12" i="4"/>
  <c r="O16" i="4"/>
  <c r="G21" i="6"/>
  <c r="H20" i="6"/>
  <c r="H31" i="6" s="1"/>
  <c r="H32" i="6" s="1"/>
  <c r="G37" i="8"/>
  <c r="G35" i="8"/>
  <c r="AA21" i="8"/>
  <c r="AA22" i="8" s="1"/>
  <c r="AA33" i="8" s="1"/>
  <c r="AA34" i="8" s="1"/>
  <c r="AA37" i="8" s="1"/>
  <c r="H21" i="4"/>
  <c r="H32" i="4" s="1"/>
  <c r="H33" i="4" s="1"/>
  <c r="H36" i="4" s="1"/>
  <c r="G22" i="4"/>
  <c r="AB19" i="8"/>
  <c r="AB31" i="8" s="1"/>
  <c r="I20" i="4"/>
  <c r="I30" i="4"/>
  <c r="X19" i="6"/>
  <c r="X29" i="6"/>
  <c r="Y11" i="6"/>
  <c r="Y17" i="6" s="1"/>
  <c r="Z8" i="6"/>
  <c r="G33" i="6"/>
  <c r="G35" i="6"/>
  <c r="W20" i="6"/>
  <c r="W31" i="6" s="1"/>
  <c r="W32" i="6" s="1"/>
  <c r="W35" i="6" s="1"/>
  <c r="K8" i="4"/>
  <c r="J11" i="4"/>
  <c r="J18" i="4" s="1"/>
  <c r="BC11" i="6"/>
  <c r="BD8" i="6"/>
  <c r="G36" i="4"/>
  <c r="G34" i="4"/>
  <c r="J11" i="6"/>
  <c r="J17" i="6" s="1"/>
  <c r="K8" i="6"/>
  <c r="I31" i="8"/>
  <c r="I21" i="8"/>
  <c r="I19" i="6"/>
  <c r="I29" i="6"/>
  <c r="K9" i="8"/>
  <c r="J12" i="8"/>
  <c r="J19" i="8" s="1"/>
  <c r="AN11" i="6"/>
  <c r="AO8" i="6"/>
  <c r="H22" i="8"/>
  <c r="H33" i="8" s="1"/>
  <c r="H34" i="8" s="1"/>
  <c r="G23" i="8"/>
  <c r="O25" i="8"/>
  <c r="O13" i="4"/>
  <c r="N24" i="4"/>
  <c r="Z23" i="8"/>
  <c r="AC25" i="8"/>
  <c r="AH15" i="6"/>
  <c r="AH23" i="6" s="1"/>
  <c r="AI12" i="6"/>
  <c r="AG17" i="6"/>
  <c r="V22" i="4"/>
  <c r="X20" i="4"/>
  <c r="X30" i="4"/>
  <c r="Y11" i="4"/>
  <c r="Y18" i="4" s="1"/>
  <c r="W21" i="4"/>
  <c r="W32" i="4" s="1"/>
  <c r="W33" i="4" s="1"/>
  <c r="AM17" i="8" l="1"/>
  <c r="AN13" i="8"/>
  <c r="Q12" i="4"/>
  <c r="AF12" i="4"/>
  <c r="AE16" i="4"/>
  <c r="AE24" i="4" s="1"/>
  <c r="H21" i="6"/>
  <c r="W21" i="6"/>
  <c r="AA23" i="8"/>
  <c r="W36" i="4"/>
  <c r="J30" i="4"/>
  <c r="J20" i="4"/>
  <c r="I21" i="4"/>
  <c r="I32" i="4" s="1"/>
  <c r="I33" i="4" s="1"/>
  <c r="L8" i="4"/>
  <c r="K11" i="4"/>
  <c r="K18" i="4" s="1"/>
  <c r="H34" i="4"/>
  <c r="K11" i="6"/>
  <c r="K17" i="6" s="1"/>
  <c r="L8" i="6"/>
  <c r="J29" i="6"/>
  <c r="J19" i="6"/>
  <c r="L9" i="8"/>
  <c r="K12" i="8"/>
  <c r="K19" i="8" s="1"/>
  <c r="AC19" i="8"/>
  <c r="AC31" i="8" s="1"/>
  <c r="AO11" i="6"/>
  <c r="AP8" i="6"/>
  <c r="J31" i="8"/>
  <c r="J21" i="8"/>
  <c r="H23" i="8"/>
  <c r="BE8" i="6"/>
  <c r="BD11" i="6"/>
  <c r="Z11" i="6"/>
  <c r="Z17" i="6" s="1"/>
  <c r="AA8" i="6"/>
  <c r="I22" i="8"/>
  <c r="I33" i="8" s="1"/>
  <c r="I34" i="8" s="1"/>
  <c r="X20" i="6"/>
  <c r="X31" i="6" s="1"/>
  <c r="X32" i="6" s="1"/>
  <c r="X35" i="6" s="1"/>
  <c r="H37" i="8"/>
  <c r="H35" i="8"/>
  <c r="I20" i="6"/>
  <c r="I31" i="6" s="1"/>
  <c r="I32" i="6" s="1"/>
  <c r="Y19" i="6"/>
  <c r="Y29" i="6"/>
  <c r="H22" i="4"/>
  <c r="H33" i="6"/>
  <c r="H35" i="6"/>
  <c r="AD25" i="8"/>
  <c r="Q25" i="8"/>
  <c r="P25" i="8"/>
  <c r="AB21" i="8"/>
  <c r="P13" i="4"/>
  <c r="P16" i="4" s="1"/>
  <c r="O24" i="4"/>
  <c r="AG29" i="6"/>
  <c r="AG19" i="6"/>
  <c r="AH17" i="6"/>
  <c r="AI15" i="6"/>
  <c r="AI23" i="6" s="1"/>
  <c r="AJ12" i="6"/>
  <c r="W22" i="4"/>
  <c r="Y20" i="4"/>
  <c r="Y30" i="4"/>
  <c r="Z11" i="4"/>
  <c r="Z18" i="4" s="1"/>
  <c r="X21" i="4"/>
  <c r="X32" i="4" s="1"/>
  <c r="X33" i="4" s="1"/>
  <c r="X36" i="4" s="1"/>
  <c r="AN17" i="8" l="1"/>
  <c r="AO13" i="8"/>
  <c r="AG12" i="4"/>
  <c r="AF16" i="4"/>
  <c r="AF24" i="4" s="1"/>
  <c r="I23" i="8"/>
  <c r="X21" i="6"/>
  <c r="Y20" i="6"/>
  <c r="Y31" i="6" s="1"/>
  <c r="Y32" i="6" s="1"/>
  <c r="Y35" i="6" s="1"/>
  <c r="Y21" i="6"/>
  <c r="L12" i="8"/>
  <c r="L19" i="8" s="1"/>
  <c r="M9" i="8"/>
  <c r="I21" i="6"/>
  <c r="J22" i="8"/>
  <c r="J33" i="8" s="1"/>
  <c r="J34" i="8" s="1"/>
  <c r="J20" i="6"/>
  <c r="J31" i="6" s="1"/>
  <c r="J32" i="6" s="1"/>
  <c r="K30" i="4"/>
  <c r="K20" i="4"/>
  <c r="I36" i="4"/>
  <c r="I34" i="4"/>
  <c r="BF8" i="6"/>
  <c r="BE11" i="6"/>
  <c r="M8" i="4"/>
  <c r="L11" i="4"/>
  <c r="L18" i="4" s="1"/>
  <c r="AB8" i="6"/>
  <c r="AA11" i="6"/>
  <c r="AA17" i="6" s="1"/>
  <c r="K29" i="6"/>
  <c r="K19" i="6"/>
  <c r="J21" i="4"/>
  <c r="J32" i="4" s="1"/>
  <c r="J33" i="4" s="1"/>
  <c r="J36" i="4" s="1"/>
  <c r="K31" i="8"/>
  <c r="K21" i="8"/>
  <c r="I35" i="6"/>
  <c r="I33" i="6"/>
  <c r="I22" i="4"/>
  <c r="I35" i="8"/>
  <c r="I37" i="8"/>
  <c r="AP11" i="6"/>
  <c r="AQ8" i="6"/>
  <c r="M8" i="6"/>
  <c r="L11" i="6"/>
  <c r="L17" i="6" s="1"/>
  <c r="Z29" i="6"/>
  <c r="Z19" i="6"/>
  <c r="AD19" i="8"/>
  <c r="AD31" i="8" s="1"/>
  <c r="Q13" i="4"/>
  <c r="P24" i="4"/>
  <c r="AC21" i="8"/>
  <c r="AC22" i="8" s="1"/>
  <c r="AC33" i="8" s="1"/>
  <c r="AC34" i="8" s="1"/>
  <c r="AC37" i="8" s="1"/>
  <c r="AB22" i="8"/>
  <c r="AB33" i="8" s="1"/>
  <c r="AB34" i="8" s="1"/>
  <c r="AE25" i="8"/>
  <c r="AI17" i="6"/>
  <c r="AH29" i="6"/>
  <c r="AH19" i="6"/>
  <c r="AG20" i="6"/>
  <c r="AG31" i="6" s="1"/>
  <c r="AG32" i="6" s="1"/>
  <c r="AJ15" i="6"/>
  <c r="AJ23" i="6" s="1"/>
  <c r="AK12" i="6"/>
  <c r="X22" i="4"/>
  <c r="AA11" i="4"/>
  <c r="AA18" i="4" s="1"/>
  <c r="Z30" i="4"/>
  <c r="Z20" i="4"/>
  <c r="Y21" i="4"/>
  <c r="Y32" i="4" s="1"/>
  <c r="Y33" i="4" s="1"/>
  <c r="Y36" i="4" s="1"/>
  <c r="AB37" i="8" l="1"/>
  <c r="AO17" i="8"/>
  <c r="AP13" i="8"/>
  <c r="AH12" i="4"/>
  <c r="AG16" i="4"/>
  <c r="Q16" i="4"/>
  <c r="Q24" i="4" s="1"/>
  <c r="AD21" i="8"/>
  <c r="AD22" i="8" s="1"/>
  <c r="AD33" i="8" s="1"/>
  <c r="AD34" i="8" s="1"/>
  <c r="AD37" i="8" s="1"/>
  <c r="J21" i="6"/>
  <c r="BF11" i="6"/>
  <c r="BG8" i="6"/>
  <c r="AG35" i="6"/>
  <c r="K20" i="6"/>
  <c r="K31" i="6" s="1"/>
  <c r="K32" i="6" s="1"/>
  <c r="Z20" i="6"/>
  <c r="Z31" i="6" s="1"/>
  <c r="Z32" i="6" s="1"/>
  <c r="Z35" i="6" s="1"/>
  <c r="Z21" i="6"/>
  <c r="J34" i="4"/>
  <c r="AA29" i="6"/>
  <c r="AA19" i="6"/>
  <c r="K21" i="4"/>
  <c r="K32" i="4" s="1"/>
  <c r="K33" i="4" s="1"/>
  <c r="L29" i="6"/>
  <c r="L19" i="6"/>
  <c r="AC8" i="6"/>
  <c r="AB11" i="6"/>
  <c r="AB17" i="6" s="1"/>
  <c r="M11" i="6"/>
  <c r="M17" i="6" s="1"/>
  <c r="N8" i="6"/>
  <c r="K22" i="8"/>
  <c r="K33" i="8" s="1"/>
  <c r="K34" i="8" s="1"/>
  <c r="L20" i="4"/>
  <c r="L30" i="4"/>
  <c r="N8" i="4"/>
  <c r="M11" i="4"/>
  <c r="M18" i="4" s="1"/>
  <c r="J35" i="6"/>
  <c r="J33" i="6"/>
  <c r="J37" i="8"/>
  <c r="J35" i="8"/>
  <c r="M12" i="8"/>
  <c r="M19" i="8" s="1"/>
  <c r="N9" i="8"/>
  <c r="L31" i="8"/>
  <c r="L21" i="8"/>
  <c r="AQ11" i="6"/>
  <c r="AR8" i="6"/>
  <c r="AE19" i="8"/>
  <c r="AE31" i="8" s="1"/>
  <c r="J22" i="4"/>
  <c r="J23" i="8"/>
  <c r="AF25" i="8"/>
  <c r="AC23" i="8"/>
  <c r="AB23" i="8"/>
  <c r="AG21" i="6"/>
  <c r="AL12" i="6"/>
  <c r="AK15" i="6"/>
  <c r="AK23" i="6" s="1"/>
  <c r="AJ17" i="6"/>
  <c r="AH20" i="6"/>
  <c r="AH31" i="6" s="1"/>
  <c r="AH32" i="6" s="1"/>
  <c r="AH35" i="6" s="1"/>
  <c r="AI29" i="6"/>
  <c r="AI19" i="6"/>
  <c r="Y22" i="4"/>
  <c r="Z21" i="4"/>
  <c r="Z32" i="4" s="1"/>
  <c r="Z33" i="4" s="1"/>
  <c r="Z36" i="4" s="1"/>
  <c r="AA20" i="4"/>
  <c r="AA30" i="4"/>
  <c r="AB11" i="4"/>
  <c r="AB18" i="4" s="1"/>
  <c r="AP17" i="8" l="1"/>
  <c r="AQ13" i="8"/>
  <c r="AI12" i="4"/>
  <c r="K21" i="6"/>
  <c r="AD23" i="8"/>
  <c r="K37" i="8"/>
  <c r="K35" i="8"/>
  <c r="AA20" i="6"/>
  <c r="AA31" i="6" s="1"/>
  <c r="AA32" i="6" s="1"/>
  <c r="AA35" i="6" s="1"/>
  <c r="AA21" i="6"/>
  <c r="L22" i="8"/>
  <c r="L33" i="8" s="1"/>
  <c r="L34" i="8" s="1"/>
  <c r="AB19" i="6"/>
  <c r="AB29" i="6"/>
  <c r="K35" i="6"/>
  <c r="K33" i="6"/>
  <c r="M20" i="4"/>
  <c r="M30" i="4"/>
  <c r="O8" i="4"/>
  <c r="N11" i="4"/>
  <c r="N18" i="4" s="1"/>
  <c r="AC11" i="6"/>
  <c r="AC17" i="6" s="1"/>
  <c r="AD8" i="6"/>
  <c r="K36" i="4"/>
  <c r="K34" i="4"/>
  <c r="AS8" i="6"/>
  <c r="AR11" i="6"/>
  <c r="N11" i="6"/>
  <c r="N17" i="6" s="1"/>
  <c r="O8" i="6"/>
  <c r="M29" i="6"/>
  <c r="M19" i="6"/>
  <c r="O9" i="8"/>
  <c r="N12" i="8"/>
  <c r="N19" i="8" s="1"/>
  <c r="L20" i="6"/>
  <c r="L31" i="6" s="1"/>
  <c r="L32" i="6" s="1"/>
  <c r="BH8" i="6"/>
  <c r="BG11" i="6"/>
  <c r="M31" i="8"/>
  <c r="M21" i="8"/>
  <c r="L21" i="4"/>
  <c r="L32" i="4" s="1"/>
  <c r="L33" i="4" s="1"/>
  <c r="K23" i="8"/>
  <c r="K22" i="4"/>
  <c r="AE21" i="8"/>
  <c r="AE22" i="8" s="1"/>
  <c r="AE33" i="8" s="1"/>
  <c r="AE34" i="8" s="1"/>
  <c r="AE37" i="8" s="1"/>
  <c r="AF19" i="8"/>
  <c r="AF31" i="8" s="1"/>
  <c r="AG25" i="8"/>
  <c r="AH21" i="6"/>
  <c r="AJ29" i="6"/>
  <c r="AJ19" i="6"/>
  <c r="AK17" i="6"/>
  <c r="AI20" i="6"/>
  <c r="AI31" i="6" s="1"/>
  <c r="AI32" i="6" s="1"/>
  <c r="AI35" i="6" s="1"/>
  <c r="AM12" i="6"/>
  <c r="AL15" i="6"/>
  <c r="AL23" i="6" s="1"/>
  <c r="AB20" i="4"/>
  <c r="AB30" i="4"/>
  <c r="AC11" i="4"/>
  <c r="AC18" i="4" s="1"/>
  <c r="AA21" i="4"/>
  <c r="AA32" i="4" s="1"/>
  <c r="AA33" i="4" s="1"/>
  <c r="AA36" i="4" s="1"/>
  <c r="Z22" i="4"/>
  <c r="AQ17" i="8" l="1"/>
  <c r="AR13" i="8"/>
  <c r="AJ12" i="4"/>
  <c r="L21" i="6"/>
  <c r="L22" i="4"/>
  <c r="L23" i="8"/>
  <c r="L36" i="4"/>
  <c r="L34" i="4"/>
  <c r="L33" i="6"/>
  <c r="L35" i="6"/>
  <c r="M22" i="8"/>
  <c r="M33" i="8" s="1"/>
  <c r="M34" i="8" s="1"/>
  <c r="AT8" i="6"/>
  <c r="AS11" i="6"/>
  <c r="M21" i="4"/>
  <c r="M32" i="4" s="1"/>
  <c r="M33" i="4" s="1"/>
  <c r="N30" i="4"/>
  <c r="N20" i="4"/>
  <c r="L37" i="8"/>
  <c r="L35" i="8"/>
  <c r="P9" i="8"/>
  <c r="O12" i="8"/>
  <c r="O19" i="8" s="1"/>
  <c r="O11" i="6"/>
  <c r="O17" i="6" s="1"/>
  <c r="P8" i="6"/>
  <c r="P8" i="4"/>
  <c r="O11" i="4"/>
  <c r="O18" i="4" s="1"/>
  <c r="BI8" i="6"/>
  <c r="BH11" i="6"/>
  <c r="M20" i="6"/>
  <c r="M31" i="6" s="1"/>
  <c r="M32" i="6" s="1"/>
  <c r="AD11" i="6"/>
  <c r="AD17" i="6" s="1"/>
  <c r="AE8" i="6"/>
  <c r="N29" i="6"/>
  <c r="N19" i="6"/>
  <c r="N21" i="8"/>
  <c r="N31" i="8"/>
  <c r="AC29" i="6"/>
  <c r="AC19" i="6"/>
  <c r="AB20" i="6"/>
  <c r="AB31" i="6" s="1"/>
  <c r="AB32" i="6" s="1"/>
  <c r="AB35" i="6" s="1"/>
  <c r="AE23" i="8"/>
  <c r="AF21" i="8"/>
  <c r="AH25" i="8"/>
  <c r="AG19" i="8"/>
  <c r="AG31" i="8" s="1"/>
  <c r="AA22" i="4"/>
  <c r="AI21" i="6"/>
  <c r="AM15" i="6"/>
  <c r="AM23" i="6" s="1"/>
  <c r="AN12" i="6"/>
  <c r="AK29" i="6"/>
  <c r="AK19" i="6"/>
  <c r="AL17" i="6"/>
  <c r="AJ20" i="6"/>
  <c r="AJ31" i="6" s="1"/>
  <c r="AJ32" i="6" s="1"/>
  <c r="AJ35" i="6" s="1"/>
  <c r="AD11" i="4"/>
  <c r="AD18" i="4" s="1"/>
  <c r="AC30" i="4"/>
  <c r="AC20" i="4"/>
  <c r="AB21" i="4"/>
  <c r="AB32" i="4" s="1"/>
  <c r="AB33" i="4" s="1"/>
  <c r="AB36" i="4" s="1"/>
  <c r="AR17" i="8" l="1"/>
  <c r="AS13" i="8"/>
  <c r="AK12" i="4"/>
  <c r="M23" i="8"/>
  <c r="AB22" i="4"/>
  <c r="M22" i="4"/>
  <c r="AD29" i="6"/>
  <c r="AD19" i="6"/>
  <c r="P11" i="6"/>
  <c r="P17" i="6" s="1"/>
  <c r="Q8" i="6"/>
  <c r="Q11" i="6" s="1"/>
  <c r="Q17" i="6" s="1"/>
  <c r="AC20" i="6"/>
  <c r="AC31" i="6" s="1"/>
  <c r="AC32" i="6" s="1"/>
  <c r="AC35" i="6" s="1"/>
  <c r="M21" i="6"/>
  <c r="O29" i="6"/>
  <c r="O19" i="6"/>
  <c r="M37" i="8"/>
  <c r="M35" i="8"/>
  <c r="N22" i="8"/>
  <c r="N33" i="8" s="1"/>
  <c r="N34" i="8" s="1"/>
  <c r="BJ8" i="6"/>
  <c r="BJ11" i="6" s="1"/>
  <c r="BI11" i="6"/>
  <c r="M35" i="6"/>
  <c r="M33" i="6"/>
  <c r="M34" i="4"/>
  <c r="M36" i="4"/>
  <c r="O20" i="4"/>
  <c r="O30" i="4"/>
  <c r="O31" i="8"/>
  <c r="O21" i="8"/>
  <c r="N21" i="4"/>
  <c r="N32" i="4" s="1"/>
  <c r="N33" i="4" s="1"/>
  <c r="N20" i="6"/>
  <c r="N31" i="6" s="1"/>
  <c r="N32" i="6" s="1"/>
  <c r="AB21" i="6"/>
  <c r="AE11" i="6"/>
  <c r="AE17" i="6" s="1"/>
  <c r="AF8" i="6"/>
  <c r="AF11" i="6" s="1"/>
  <c r="AF17" i="6" s="1"/>
  <c r="Q8" i="4"/>
  <c r="Q11" i="4" s="1"/>
  <c r="Q18" i="4" s="1"/>
  <c r="P11" i="4"/>
  <c r="P18" i="4" s="1"/>
  <c r="P12" i="8"/>
  <c r="P19" i="8" s="1"/>
  <c r="Q9" i="8"/>
  <c r="Q12" i="8" s="1"/>
  <c r="Q19" i="8" s="1"/>
  <c r="AU8" i="6"/>
  <c r="AU11" i="6" s="1"/>
  <c r="AT11" i="6"/>
  <c r="AI25" i="8"/>
  <c r="AH19" i="8"/>
  <c r="AH31" i="8" s="1"/>
  <c r="AF22" i="8"/>
  <c r="AF33" i="8" s="1"/>
  <c r="AF34" i="8" s="1"/>
  <c r="AG21" i="8"/>
  <c r="AL29" i="6"/>
  <c r="AL19" i="6"/>
  <c r="AJ21" i="6"/>
  <c r="AK20" i="6"/>
  <c r="AK31" i="6" s="1"/>
  <c r="AK32" i="6" s="1"/>
  <c r="AK35" i="6" s="1"/>
  <c r="AN15" i="6"/>
  <c r="AN23" i="6" s="1"/>
  <c r="AO12" i="6"/>
  <c r="AM17" i="6"/>
  <c r="AC21" i="4"/>
  <c r="AC32" i="4" s="1"/>
  <c r="AC33" i="4" s="1"/>
  <c r="AC36" i="4" s="1"/>
  <c r="AD30" i="4"/>
  <c r="AD20" i="4"/>
  <c r="AE11" i="4"/>
  <c r="AE18" i="4" s="1"/>
  <c r="AS17" i="8" l="1"/>
  <c r="AT13" i="8"/>
  <c r="N22" i="4"/>
  <c r="AL12" i="4"/>
  <c r="N21" i="6"/>
  <c r="AC21" i="6"/>
  <c r="N36" i="4"/>
  <c r="N34" i="4"/>
  <c r="N37" i="8"/>
  <c r="N35" i="8"/>
  <c r="P31" i="8"/>
  <c r="P21" i="8"/>
  <c r="P30" i="4"/>
  <c r="P20" i="4"/>
  <c r="N23" i="8"/>
  <c r="AE19" i="6"/>
  <c r="AE29" i="6"/>
  <c r="O22" i="8"/>
  <c r="O33" i="8" s="1"/>
  <c r="O34" i="8" s="1"/>
  <c r="O37" i="8" s="1"/>
  <c r="Q29" i="6"/>
  <c r="Q19" i="6"/>
  <c r="P19" i="6"/>
  <c r="P29" i="6"/>
  <c r="AF29" i="6"/>
  <c r="AF19" i="6"/>
  <c r="AD20" i="6"/>
  <c r="AD31" i="6" s="1"/>
  <c r="AD32" i="6" s="1"/>
  <c r="AD35" i="6" s="1"/>
  <c r="Q20" i="4"/>
  <c r="Q30" i="4"/>
  <c r="Q31" i="8"/>
  <c r="Q21" i="8"/>
  <c r="N33" i="6"/>
  <c r="N35" i="6"/>
  <c r="O21" i="4"/>
  <c r="O32" i="4" s="1"/>
  <c r="O33" i="4" s="1"/>
  <c r="O20" i="6"/>
  <c r="O31" i="6" s="1"/>
  <c r="O32" i="6" s="1"/>
  <c r="AF37" i="8"/>
  <c r="AF23" i="8"/>
  <c r="AH21" i="8"/>
  <c r="AG22" i="8"/>
  <c r="AG33" i="8" s="1"/>
  <c r="AG34" i="8" s="1"/>
  <c r="AG37" i="8" s="1"/>
  <c r="AI19" i="8"/>
  <c r="AI31" i="8" s="1"/>
  <c r="AJ25" i="8"/>
  <c r="AK21" i="6"/>
  <c r="AO15" i="6"/>
  <c r="AO23" i="6" s="1"/>
  <c r="AP12" i="6"/>
  <c r="AN17" i="6"/>
  <c r="AM29" i="6"/>
  <c r="AM19" i="6"/>
  <c r="AL20" i="6"/>
  <c r="AL31" i="6" s="1"/>
  <c r="AL32" i="6" s="1"/>
  <c r="AL35" i="6" s="1"/>
  <c r="AE30" i="4"/>
  <c r="AE20" i="4"/>
  <c r="AF11" i="4"/>
  <c r="AF18" i="4" s="1"/>
  <c r="AD21" i="4"/>
  <c r="AD32" i="4" s="1"/>
  <c r="AD33" i="4" s="1"/>
  <c r="AD36" i="4" s="1"/>
  <c r="AC22" i="4"/>
  <c r="AT17" i="8" l="1"/>
  <c r="AU13" i="8"/>
  <c r="AM12" i="4"/>
  <c r="AG23" i="8"/>
  <c r="O21" i="6"/>
  <c r="O22" i="4"/>
  <c r="O36" i="4"/>
  <c r="O34" i="4"/>
  <c r="AD21" i="6"/>
  <c r="O23" i="8"/>
  <c r="Q21" i="4"/>
  <c r="Q32" i="4" s="1"/>
  <c r="Q33" i="4" s="1"/>
  <c r="Q36" i="4" s="1"/>
  <c r="Q22" i="8"/>
  <c r="Q33" i="8" s="1"/>
  <c r="Q34" i="8" s="1"/>
  <c r="Q37" i="8" s="1"/>
  <c r="AE20" i="6"/>
  <c r="AE31" i="6" s="1"/>
  <c r="AE32" i="6" s="1"/>
  <c r="AE35" i="6" s="1"/>
  <c r="O35" i="8"/>
  <c r="P20" i="6"/>
  <c r="P31" i="6" s="1"/>
  <c r="P32" i="6" s="1"/>
  <c r="P21" i="4"/>
  <c r="P32" i="4" s="1"/>
  <c r="P33" i="4" s="1"/>
  <c r="P22" i="8"/>
  <c r="P33" i="8" s="1"/>
  <c r="P34" i="8" s="1"/>
  <c r="AF20" i="6"/>
  <c r="AF31" i="6" s="1"/>
  <c r="AF32" i="6" s="1"/>
  <c r="O35" i="6"/>
  <c r="O33" i="6"/>
  <c r="Q20" i="6"/>
  <c r="Q31" i="6" s="1"/>
  <c r="Q32" i="6" s="1"/>
  <c r="AI21" i="8"/>
  <c r="AJ19" i="8"/>
  <c r="AJ31" i="8" s="1"/>
  <c r="AK25" i="8"/>
  <c r="AH22" i="8"/>
  <c r="AH33" i="8" s="1"/>
  <c r="AH34" i="8" s="1"/>
  <c r="AH37" i="8" s="1"/>
  <c r="AL21" i="6"/>
  <c r="AM20" i="6"/>
  <c r="AM31" i="6" s="1"/>
  <c r="AM32" i="6" s="1"/>
  <c r="AM35" i="6" s="1"/>
  <c r="AP15" i="6"/>
  <c r="AP23" i="6" s="1"/>
  <c r="AQ12" i="6"/>
  <c r="AN29" i="6"/>
  <c r="AN19" i="6"/>
  <c r="AO17" i="6"/>
  <c r="AD22" i="4"/>
  <c r="AH8" i="4"/>
  <c r="AG11" i="4"/>
  <c r="AF20" i="4"/>
  <c r="AF30" i="4"/>
  <c r="AE21" i="4"/>
  <c r="AE32" i="4" s="1"/>
  <c r="AE33" i="4" s="1"/>
  <c r="AE36" i="4" s="1"/>
  <c r="AU17" i="8" l="1"/>
  <c r="AV13" i="8"/>
  <c r="AN12" i="4"/>
  <c r="P21" i="6"/>
  <c r="P22" i="4"/>
  <c r="Q22" i="4"/>
  <c r="AF21" i="6"/>
  <c r="AE21" i="6"/>
  <c r="P23" i="8"/>
  <c r="P36" i="4"/>
  <c r="P34" i="4"/>
  <c r="Q34" i="4" s="1"/>
  <c r="R34" i="4" s="1"/>
  <c r="S34" i="4" s="1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Q33" i="6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AG33" i="6" s="1"/>
  <c r="AH33" i="6" s="1"/>
  <c r="AI33" i="6" s="1"/>
  <c r="AJ33" i="6" s="1"/>
  <c r="AK33" i="6" s="1"/>
  <c r="AL33" i="6" s="1"/>
  <c r="AM33" i="6" s="1"/>
  <c r="Q35" i="6"/>
  <c r="AF35" i="6"/>
  <c r="P33" i="6"/>
  <c r="P35" i="6"/>
  <c r="Q21" i="6"/>
  <c r="P37" i="8"/>
  <c r="P35" i="8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AH35" i="8" s="1"/>
  <c r="Q23" i="8"/>
  <c r="AH23" i="8"/>
  <c r="AK19" i="8"/>
  <c r="AK31" i="8" s="1"/>
  <c r="AL25" i="8"/>
  <c r="AJ21" i="8"/>
  <c r="AI22" i="8"/>
  <c r="AI33" i="8" s="1"/>
  <c r="AI34" i="8" s="1"/>
  <c r="AI37" i="8" s="1"/>
  <c r="AN20" i="6"/>
  <c r="AN31" i="6" s="1"/>
  <c r="AN32" i="6" s="1"/>
  <c r="AN35" i="6" s="1"/>
  <c r="AQ15" i="6"/>
  <c r="AQ23" i="6" s="1"/>
  <c r="AR12" i="6"/>
  <c r="AP17" i="6"/>
  <c r="AO29" i="6"/>
  <c r="AO19" i="6"/>
  <c r="AM21" i="6"/>
  <c r="AE22" i="4"/>
  <c r="AF21" i="4"/>
  <c r="AF32" i="4" s="1"/>
  <c r="AF33" i="4" s="1"/>
  <c r="AF36" i="4" s="1"/>
  <c r="AI8" i="4"/>
  <c r="AH11" i="4"/>
  <c r="AV17" i="8" l="1"/>
  <c r="AW13" i="8"/>
  <c r="AO12" i="4"/>
  <c r="AN33" i="6"/>
  <c r="AF34" i="4"/>
  <c r="AI35" i="8"/>
  <c r="AI23" i="8"/>
  <c r="AJ22" i="8"/>
  <c r="AJ33" i="8" s="1"/>
  <c r="AJ34" i="8" s="1"/>
  <c r="AJ37" i="8" s="1"/>
  <c r="AM25" i="8"/>
  <c r="AL19" i="8"/>
  <c r="AL31" i="8" s="1"/>
  <c r="AK21" i="8"/>
  <c r="AN21" i="6"/>
  <c r="AP29" i="6"/>
  <c r="AP19" i="6"/>
  <c r="AR15" i="6"/>
  <c r="AR23" i="6" s="1"/>
  <c r="AS12" i="6"/>
  <c r="AQ17" i="6"/>
  <c r="AO20" i="6"/>
  <c r="AO31" i="6" s="1"/>
  <c r="AO32" i="6" s="1"/>
  <c r="AO35" i="6" s="1"/>
  <c r="AJ8" i="4"/>
  <c r="AI11" i="4"/>
  <c r="AF22" i="4"/>
  <c r="AX13" i="8" l="1"/>
  <c r="AW17" i="8"/>
  <c r="AP12" i="4"/>
  <c r="AO33" i="6"/>
  <c r="AJ35" i="8"/>
  <c r="AM19" i="8"/>
  <c r="AM31" i="8" s="1"/>
  <c r="AN25" i="8"/>
  <c r="AL21" i="8"/>
  <c r="AJ23" i="8"/>
  <c r="AK22" i="8"/>
  <c r="AK33" i="8" s="1"/>
  <c r="AK34" i="8" s="1"/>
  <c r="AK37" i="8" s="1"/>
  <c r="AQ29" i="6"/>
  <c r="AQ19" i="6"/>
  <c r="AS15" i="6"/>
  <c r="AS23" i="6" s="1"/>
  <c r="AT12" i="6"/>
  <c r="AR17" i="6"/>
  <c r="AP20" i="6"/>
  <c r="AP31" i="6" s="1"/>
  <c r="AP32" i="6" s="1"/>
  <c r="AP35" i="6" s="1"/>
  <c r="AO21" i="6"/>
  <c r="AJ11" i="4"/>
  <c r="AK8" i="4"/>
  <c r="AX17" i="8" l="1"/>
  <c r="AY13" i="8"/>
  <c r="AQ12" i="4"/>
  <c r="AP33" i="6"/>
  <c r="AK35" i="8"/>
  <c r="AO25" i="8"/>
  <c r="AN19" i="8"/>
  <c r="AN31" i="8" s="1"/>
  <c r="AK23" i="8"/>
  <c r="AM21" i="8"/>
  <c r="AL22" i="8"/>
  <c r="AL33" i="8" s="1"/>
  <c r="AL34" i="8" s="1"/>
  <c r="AL37" i="8" s="1"/>
  <c r="AP21" i="6"/>
  <c r="AR29" i="6"/>
  <c r="AR19" i="6"/>
  <c r="AU12" i="6"/>
  <c r="AT15" i="6"/>
  <c r="AT23" i="6" s="1"/>
  <c r="AS17" i="6"/>
  <c r="AQ20" i="6"/>
  <c r="AQ31" i="6" s="1"/>
  <c r="AQ32" i="6" s="1"/>
  <c r="AQ35" i="6" s="1"/>
  <c r="AK11" i="4"/>
  <c r="AL8" i="4"/>
  <c r="AY17" i="8" l="1"/>
  <c r="AZ13" i="8"/>
  <c r="AR12" i="4"/>
  <c r="AQ33" i="6"/>
  <c r="AL35" i="8"/>
  <c r="AO19" i="8"/>
  <c r="AO31" i="8" s="1"/>
  <c r="AN21" i="8"/>
  <c r="AL23" i="8"/>
  <c r="AP25" i="8"/>
  <c r="AM22" i="8"/>
  <c r="AM33" i="8" s="1"/>
  <c r="AM34" i="8" s="1"/>
  <c r="AM37" i="8" s="1"/>
  <c r="AQ21" i="6"/>
  <c r="AS29" i="6"/>
  <c r="AS19" i="6"/>
  <c r="AT17" i="6"/>
  <c r="AV12" i="6"/>
  <c r="AU15" i="6"/>
  <c r="AU23" i="6" s="1"/>
  <c r="AR20" i="6"/>
  <c r="AR31" i="6" s="1"/>
  <c r="AR32" i="6" s="1"/>
  <c r="AR35" i="6" s="1"/>
  <c r="AL11" i="4"/>
  <c r="AM8" i="4"/>
  <c r="AZ17" i="8" l="1"/>
  <c r="BA13" i="8"/>
  <c r="AS12" i="4"/>
  <c r="AR33" i="6"/>
  <c r="AM35" i="8"/>
  <c r="AQ25" i="8"/>
  <c r="AO21" i="8"/>
  <c r="AP19" i="8"/>
  <c r="AP31" i="8" s="1"/>
  <c r="AN22" i="8"/>
  <c r="AN33" i="8" s="1"/>
  <c r="AN34" i="8" s="1"/>
  <c r="AN37" i="8" s="1"/>
  <c r="AM23" i="8"/>
  <c r="AR21" i="6"/>
  <c r="AV15" i="6"/>
  <c r="AV23" i="6" s="1"/>
  <c r="AW12" i="6"/>
  <c r="AU17" i="6"/>
  <c r="AT29" i="6"/>
  <c r="AT19" i="6"/>
  <c r="AS20" i="6"/>
  <c r="AS31" i="6" s="1"/>
  <c r="AS32" i="6" s="1"/>
  <c r="AS35" i="6" s="1"/>
  <c r="AN8" i="4"/>
  <c r="AM11" i="4"/>
  <c r="BB13" i="8" l="1"/>
  <c r="BA17" i="8"/>
  <c r="AT12" i="4"/>
  <c r="AS33" i="6"/>
  <c r="AN35" i="8"/>
  <c r="AQ19" i="8"/>
  <c r="AQ31" i="8" s="1"/>
  <c r="AP21" i="8"/>
  <c r="AO22" i="8"/>
  <c r="AO33" i="8" s="1"/>
  <c r="AO34" i="8" s="1"/>
  <c r="AO37" i="8" s="1"/>
  <c r="AN23" i="8"/>
  <c r="AR25" i="8"/>
  <c r="AT20" i="6"/>
  <c r="AT31" i="6" s="1"/>
  <c r="AT32" i="6" s="1"/>
  <c r="AT35" i="6" s="1"/>
  <c r="AU29" i="6"/>
  <c r="AU19" i="6"/>
  <c r="AS21" i="6"/>
  <c r="AW15" i="6"/>
  <c r="AW23" i="6" s="1"/>
  <c r="AX12" i="6"/>
  <c r="AV17" i="6"/>
  <c r="AO8" i="4"/>
  <c r="AN11" i="4"/>
  <c r="BC13" i="8" l="1"/>
  <c r="BB17" i="8"/>
  <c r="AU12" i="4"/>
  <c r="AO23" i="8"/>
  <c r="AT33" i="6"/>
  <c r="AO35" i="8"/>
  <c r="AP22" i="8"/>
  <c r="AP33" i="8" s="1"/>
  <c r="AP34" i="8" s="1"/>
  <c r="AP37" i="8" s="1"/>
  <c r="AS25" i="8"/>
  <c r="AR19" i="8"/>
  <c r="AR31" i="8" s="1"/>
  <c r="AQ21" i="8"/>
  <c r="AU20" i="6"/>
  <c r="AU31" i="6" s="1"/>
  <c r="AU32" i="6" s="1"/>
  <c r="AU35" i="6" s="1"/>
  <c r="AX15" i="6"/>
  <c r="AX23" i="6" s="1"/>
  <c r="AY12" i="6"/>
  <c r="AW17" i="6"/>
  <c r="AV29" i="6"/>
  <c r="AV19" i="6"/>
  <c r="AT21" i="6"/>
  <c r="AO11" i="4"/>
  <c r="AP8" i="4"/>
  <c r="BC17" i="8" l="1"/>
  <c r="BD13" i="8"/>
  <c r="AV12" i="4"/>
  <c r="AP23" i="8"/>
  <c r="AU33" i="6"/>
  <c r="AP35" i="8"/>
  <c r="AQ22" i="8"/>
  <c r="AQ33" i="8" s="1"/>
  <c r="AQ34" i="8" s="1"/>
  <c r="AQ37" i="8" s="1"/>
  <c r="AR21" i="8"/>
  <c r="AT25" i="8"/>
  <c r="AS19" i="8"/>
  <c r="AS31" i="8" s="1"/>
  <c r="AW29" i="6"/>
  <c r="AW19" i="6"/>
  <c r="AZ12" i="6"/>
  <c r="AY15" i="6"/>
  <c r="AY23" i="6" s="1"/>
  <c r="AX17" i="6"/>
  <c r="AV20" i="6"/>
  <c r="AV31" i="6" s="1"/>
  <c r="AV32" i="6" s="1"/>
  <c r="AV35" i="6" s="1"/>
  <c r="AU21" i="6"/>
  <c r="AQ8" i="4"/>
  <c r="AP11" i="4"/>
  <c r="BD17" i="8" l="1"/>
  <c r="BE13" i="8"/>
  <c r="AW12" i="4"/>
  <c r="AV16" i="4"/>
  <c r="AV33" i="6"/>
  <c r="AQ35" i="8"/>
  <c r="AS21" i="8"/>
  <c r="AU25" i="8"/>
  <c r="AT19" i="8"/>
  <c r="AT31" i="8" s="1"/>
  <c r="AR22" i="8"/>
  <c r="AR33" i="8" s="1"/>
  <c r="AR34" i="8" s="1"/>
  <c r="AR37" i="8" s="1"/>
  <c r="AQ23" i="8"/>
  <c r="AV21" i="6"/>
  <c r="AX29" i="6"/>
  <c r="AX19" i="6"/>
  <c r="AY17" i="6"/>
  <c r="BA12" i="6"/>
  <c r="AZ15" i="6"/>
  <c r="AZ23" i="6" s="1"/>
  <c r="AW20" i="6"/>
  <c r="AW31" i="6" s="1"/>
  <c r="AW32" i="6" s="1"/>
  <c r="AW35" i="6" s="1"/>
  <c r="AR8" i="4"/>
  <c r="AQ11" i="4"/>
  <c r="BF13" i="8" l="1"/>
  <c r="BE17" i="8"/>
  <c r="AX12" i="4"/>
  <c r="AW16" i="4"/>
  <c r="AW33" i="6"/>
  <c r="AR35" i="8"/>
  <c r="AT21" i="8"/>
  <c r="AS22" i="8"/>
  <c r="AS33" i="8" s="1"/>
  <c r="AS34" i="8" s="1"/>
  <c r="AS37" i="8" s="1"/>
  <c r="AU19" i="8"/>
  <c r="AU31" i="8" s="1"/>
  <c r="AV25" i="8"/>
  <c r="AR23" i="8"/>
  <c r="AW21" i="6"/>
  <c r="BB12" i="6"/>
  <c r="BA15" i="6"/>
  <c r="BA23" i="6" s="1"/>
  <c r="AZ17" i="6"/>
  <c r="AY29" i="6"/>
  <c r="AY19" i="6"/>
  <c r="AX20" i="6"/>
  <c r="AX31" i="6" s="1"/>
  <c r="AX32" i="6" s="1"/>
  <c r="AX35" i="6" s="1"/>
  <c r="AS8" i="4"/>
  <c r="AR11" i="4"/>
  <c r="BF17" i="8" l="1"/>
  <c r="BG13" i="8"/>
  <c r="AY12" i="4"/>
  <c r="AX16" i="4"/>
  <c r="AS23" i="8"/>
  <c r="AX33" i="6"/>
  <c r="AS35" i="8"/>
  <c r="AU21" i="8"/>
  <c r="AT22" i="8"/>
  <c r="AT33" i="8" s="1"/>
  <c r="AT34" i="8" s="1"/>
  <c r="AT37" i="8" s="1"/>
  <c r="AV19" i="8"/>
  <c r="AV31" i="8" s="1"/>
  <c r="AW25" i="8"/>
  <c r="AX21" i="6"/>
  <c r="AY20" i="6"/>
  <c r="AY31" i="6" s="1"/>
  <c r="AY21" i="6"/>
  <c r="AY32" i="6"/>
  <c r="AY35" i="6" s="1"/>
  <c r="AZ29" i="6"/>
  <c r="AZ19" i="6"/>
  <c r="BA17" i="6"/>
  <c r="BB15" i="6"/>
  <c r="BB23" i="6" s="1"/>
  <c r="BC12" i="6"/>
  <c r="AS11" i="4"/>
  <c r="AT8" i="4"/>
  <c r="BG17" i="8" l="1"/>
  <c r="BH13" i="8"/>
  <c r="AZ12" i="4"/>
  <c r="AY16" i="4"/>
  <c r="AT23" i="8"/>
  <c r="AY33" i="6"/>
  <c r="AT35" i="8"/>
  <c r="AV21" i="8"/>
  <c r="AU22" i="8"/>
  <c r="AU33" i="8" s="1"/>
  <c r="AU34" i="8" s="1"/>
  <c r="AU37" i="8" s="1"/>
  <c r="AW19" i="8"/>
  <c r="AW31" i="8" s="1"/>
  <c r="AX25" i="8"/>
  <c r="BB17" i="6"/>
  <c r="BA29" i="6"/>
  <c r="BA19" i="6"/>
  <c r="AZ20" i="6"/>
  <c r="AZ31" i="6" s="1"/>
  <c r="AZ32" i="6" s="1"/>
  <c r="AZ35" i="6" s="1"/>
  <c r="BD12" i="6"/>
  <c r="BC15" i="6"/>
  <c r="BC23" i="6" s="1"/>
  <c r="AT11" i="4"/>
  <c r="AU8" i="4"/>
  <c r="BH17" i="8" l="1"/>
  <c r="BI13" i="8"/>
  <c r="BA12" i="4"/>
  <c r="AZ16" i="4"/>
  <c r="AU23" i="8"/>
  <c r="AZ33" i="6"/>
  <c r="AU35" i="8"/>
  <c r="AY25" i="8"/>
  <c r="AW21" i="8"/>
  <c r="AV22" i="8"/>
  <c r="AV33" i="8" s="1"/>
  <c r="AV34" i="8" s="1"/>
  <c r="AV37" i="8" s="1"/>
  <c r="AX19" i="8"/>
  <c r="AX31" i="8" s="1"/>
  <c r="AZ21" i="6"/>
  <c r="BA20" i="6"/>
  <c r="BA31" i="6" s="1"/>
  <c r="BA32" i="6" s="1"/>
  <c r="BA35" i="6" s="1"/>
  <c r="BE12" i="6"/>
  <c r="BD15" i="6"/>
  <c r="BD23" i="6" s="1"/>
  <c r="BB29" i="6"/>
  <c r="BB19" i="6"/>
  <c r="BC17" i="6"/>
  <c r="AU11" i="4"/>
  <c r="BI17" i="8" l="1"/>
  <c r="BJ13" i="8"/>
  <c r="BJ17" i="8" s="1"/>
  <c r="BB12" i="4"/>
  <c r="BA16" i="4"/>
  <c r="BA33" i="6"/>
  <c r="AV35" i="8"/>
  <c r="AY19" i="8"/>
  <c r="AY31" i="8" s="1"/>
  <c r="AX21" i="8"/>
  <c r="AV23" i="8"/>
  <c r="AW22" i="8"/>
  <c r="AW33" i="8" s="1"/>
  <c r="AW34" i="8" s="1"/>
  <c r="AW37" i="8" s="1"/>
  <c r="AZ25" i="8"/>
  <c r="BB20" i="6"/>
  <c r="BB31" i="6" s="1"/>
  <c r="BB32" i="6" s="1"/>
  <c r="BB35" i="6" s="1"/>
  <c r="BD17" i="6"/>
  <c r="BF12" i="6"/>
  <c r="BE15" i="6"/>
  <c r="BE23" i="6" s="1"/>
  <c r="BC29" i="6"/>
  <c r="BC19" i="6"/>
  <c r="BA21" i="6"/>
  <c r="AW8" i="4"/>
  <c r="AV11" i="4"/>
  <c r="BC12" i="4" l="1"/>
  <c r="BB16" i="4"/>
  <c r="AW23" i="8"/>
  <c r="BB33" i="6"/>
  <c r="AW35" i="8"/>
  <c r="AX22" i="8"/>
  <c r="AX33" i="8" s="1"/>
  <c r="AX34" i="8" s="1"/>
  <c r="AX37" i="8" s="1"/>
  <c r="AZ19" i="8"/>
  <c r="AZ31" i="8" s="1"/>
  <c r="AY21" i="8"/>
  <c r="BA25" i="8"/>
  <c r="BE17" i="6"/>
  <c r="BF15" i="6"/>
  <c r="BF23" i="6" s="1"/>
  <c r="BG12" i="6"/>
  <c r="BD29" i="6"/>
  <c r="BD19" i="6"/>
  <c r="BB21" i="6"/>
  <c r="BC20" i="6"/>
  <c r="BC31" i="6" s="1"/>
  <c r="BC32" i="6" s="1"/>
  <c r="BC35" i="6" s="1"/>
  <c r="AX8" i="4"/>
  <c r="AW11" i="4"/>
  <c r="BD12" i="4" l="1"/>
  <c r="BC16" i="4"/>
  <c r="AX23" i="8"/>
  <c r="BC33" i="6"/>
  <c r="AX35" i="8"/>
  <c r="AZ21" i="8"/>
  <c r="BA19" i="8"/>
  <c r="BA31" i="8" s="1"/>
  <c r="BB25" i="8"/>
  <c r="AY22" i="8"/>
  <c r="AY33" i="8" s="1"/>
  <c r="AY34" i="8" s="1"/>
  <c r="AY37" i="8" s="1"/>
  <c r="BD20" i="6"/>
  <c r="BD31" i="6" s="1"/>
  <c r="BD32" i="6" s="1"/>
  <c r="BD35" i="6" s="1"/>
  <c r="BH12" i="6"/>
  <c r="BG15" i="6"/>
  <c r="BG23" i="6" s="1"/>
  <c r="BF17" i="6"/>
  <c r="BE29" i="6"/>
  <c r="BE19" i="6"/>
  <c r="BC21" i="6"/>
  <c r="AY8" i="4"/>
  <c r="AX11" i="4"/>
  <c r="BE12" i="4" l="1"/>
  <c r="BD16" i="4"/>
  <c r="BD33" i="6"/>
  <c r="AY35" i="8"/>
  <c r="AY23" i="8"/>
  <c r="BC25" i="8"/>
  <c r="BA21" i="8"/>
  <c r="BB19" i="8"/>
  <c r="BB31" i="8" s="1"/>
  <c r="AZ22" i="8"/>
  <c r="AZ33" i="8" s="1"/>
  <c r="AZ34" i="8" s="1"/>
  <c r="AZ37" i="8" s="1"/>
  <c r="BD21" i="6"/>
  <c r="BF29" i="6"/>
  <c r="BF19" i="6"/>
  <c r="BG17" i="6"/>
  <c r="BI12" i="6"/>
  <c r="BH15" i="6"/>
  <c r="BH23" i="6" s="1"/>
  <c r="BE20" i="6"/>
  <c r="BE31" i="6" s="1"/>
  <c r="BE32" i="6" s="1"/>
  <c r="BE35" i="6" s="1"/>
  <c r="AZ8" i="4"/>
  <c r="AY11" i="4"/>
  <c r="BF12" i="4" l="1"/>
  <c r="BE16" i="4"/>
  <c r="BE33" i="6"/>
  <c r="AZ35" i="8"/>
  <c r="BB21" i="8"/>
  <c r="BA22" i="8"/>
  <c r="BA33" i="8" s="1"/>
  <c r="BA34" i="8" s="1"/>
  <c r="BA37" i="8" s="1"/>
  <c r="BD25" i="8"/>
  <c r="BC19" i="8"/>
  <c r="BC31" i="8" s="1"/>
  <c r="AZ23" i="8"/>
  <c r="BH17" i="6"/>
  <c r="BG29" i="6"/>
  <c r="BG19" i="6"/>
  <c r="BJ12" i="6"/>
  <c r="BJ15" i="6" s="1"/>
  <c r="BJ23" i="6" s="1"/>
  <c r="BI15" i="6"/>
  <c r="BI23" i="6" s="1"/>
  <c r="BF20" i="6"/>
  <c r="BF31" i="6" s="1"/>
  <c r="BF32" i="6" s="1"/>
  <c r="BF35" i="6" s="1"/>
  <c r="BE21" i="6"/>
  <c r="AZ11" i="4"/>
  <c r="BA8" i="4"/>
  <c r="BG12" i="4" l="1"/>
  <c r="BF16" i="4"/>
  <c r="BK23" i="6"/>
  <c r="B25" i="6" s="1"/>
  <c r="BF33" i="6"/>
  <c r="BE25" i="8"/>
  <c r="BA35" i="8"/>
  <c r="BC21" i="8"/>
  <c r="BA23" i="8"/>
  <c r="BB22" i="8"/>
  <c r="BB33" i="8" s="1"/>
  <c r="BB34" i="8" s="1"/>
  <c r="BB37" i="8" s="1"/>
  <c r="BD19" i="8"/>
  <c r="BD31" i="8" s="1"/>
  <c r="BF21" i="6"/>
  <c r="BI17" i="6"/>
  <c r="BG20" i="6"/>
  <c r="BG31" i="6" s="1"/>
  <c r="BG32" i="6" s="1"/>
  <c r="BG35" i="6" s="1"/>
  <c r="BJ17" i="6"/>
  <c r="BH29" i="6"/>
  <c r="BH19" i="6"/>
  <c r="BA11" i="4"/>
  <c r="BB8" i="4"/>
  <c r="BH12" i="4" l="1"/>
  <c r="BG16" i="4"/>
  <c r="BE19" i="8"/>
  <c r="BE31" i="8" s="1"/>
  <c r="BB23" i="8"/>
  <c r="BG33" i="6"/>
  <c r="BB35" i="8"/>
  <c r="BF25" i="8"/>
  <c r="BD21" i="8"/>
  <c r="BC22" i="8"/>
  <c r="BC33" i="8" s="1"/>
  <c r="BC34" i="8" s="1"/>
  <c r="BC37" i="8" s="1"/>
  <c r="BG21" i="6"/>
  <c r="BJ29" i="6"/>
  <c r="BJ19" i="6"/>
  <c r="BI29" i="6"/>
  <c r="BI19" i="6"/>
  <c r="BH20" i="6"/>
  <c r="BH31" i="6" s="1"/>
  <c r="BH32" i="6" s="1"/>
  <c r="BH35" i="6" s="1"/>
  <c r="BB11" i="4"/>
  <c r="BC8" i="4"/>
  <c r="BI12" i="4" l="1"/>
  <c r="BH16" i="4"/>
  <c r="BE21" i="8"/>
  <c r="BE22" i="8" s="1"/>
  <c r="BE33" i="8" s="1"/>
  <c r="BE34" i="8" s="1"/>
  <c r="BE37" i="8" s="1"/>
  <c r="BH33" i="6"/>
  <c r="BC35" i="8"/>
  <c r="BF19" i="8"/>
  <c r="BG25" i="8"/>
  <c r="BD22" i="8"/>
  <c r="BD33" i="8" s="1"/>
  <c r="BD34" i="8" s="1"/>
  <c r="BD37" i="8" s="1"/>
  <c r="BC23" i="8"/>
  <c r="BH21" i="6"/>
  <c r="BI20" i="6"/>
  <c r="BI31" i="6" s="1"/>
  <c r="BI32" i="6"/>
  <c r="BI35" i="6" s="1"/>
  <c r="BJ20" i="6"/>
  <c r="BJ31" i="6" s="1"/>
  <c r="BJ32" i="6" s="1"/>
  <c r="BC11" i="4"/>
  <c r="BD8" i="4"/>
  <c r="BJ12" i="4" l="1"/>
  <c r="BJ16" i="4" s="1"/>
  <c r="BI16" i="4"/>
  <c r="BE23" i="8"/>
  <c r="BD23" i="8"/>
  <c r="BJ35" i="6"/>
  <c r="B36" i="6" s="1"/>
  <c r="B38" i="6" s="1"/>
  <c r="B39" i="6"/>
  <c r="BI33" i="6"/>
  <c r="BJ33" i="6" s="1"/>
  <c r="BG19" i="8"/>
  <c r="BH25" i="8"/>
  <c r="BF21" i="8"/>
  <c r="BF22" i="8" s="1"/>
  <c r="BF31" i="8"/>
  <c r="BD35" i="8"/>
  <c r="BE35" i="8" s="1"/>
  <c r="BJ21" i="6"/>
  <c r="BI21" i="6"/>
  <c r="BE8" i="4"/>
  <c r="BD11" i="4"/>
  <c r="BH19" i="8" l="1"/>
  <c r="BG21" i="8"/>
  <c r="BG22" i="8" s="1"/>
  <c r="BG31" i="8"/>
  <c r="BF23" i="8"/>
  <c r="BF33" i="8"/>
  <c r="BF34" i="8" s="1"/>
  <c r="BI25" i="8"/>
  <c r="BE11" i="4"/>
  <c r="BF8" i="4"/>
  <c r="BJ25" i="8" l="1"/>
  <c r="BK25" i="8" s="1"/>
  <c r="B27" i="8" s="1"/>
  <c r="BF37" i="8"/>
  <c r="BF35" i="8"/>
  <c r="BG23" i="8"/>
  <c r="BG33" i="8"/>
  <c r="BG34" i="8" s="1"/>
  <c r="BG37" i="8" s="1"/>
  <c r="BH21" i="8"/>
  <c r="BH22" i="8" s="1"/>
  <c r="BH31" i="8"/>
  <c r="BI19" i="8"/>
  <c r="BJ19" i="8"/>
  <c r="BG8" i="4"/>
  <c r="BF11" i="4"/>
  <c r="BI21" i="8" l="1"/>
  <c r="BI22" i="8" s="1"/>
  <c r="BI31" i="8"/>
  <c r="BH23" i="8"/>
  <c r="BH33" i="8"/>
  <c r="BH34" i="8" s="1"/>
  <c r="BH37" i="8" s="1"/>
  <c r="BJ21" i="8"/>
  <c r="BJ31" i="8"/>
  <c r="BG35" i="8"/>
  <c r="BG11" i="4"/>
  <c r="BH8" i="4"/>
  <c r="BH35" i="8" l="1"/>
  <c r="BJ22" i="8"/>
  <c r="BJ33" i="8" s="1"/>
  <c r="BJ34" i="8" s="1"/>
  <c r="B41" i="8" s="1"/>
  <c r="BI23" i="8"/>
  <c r="BI33" i="8"/>
  <c r="BI34" i="8" s="1"/>
  <c r="BI37" i="8" s="1"/>
  <c r="BH11" i="4"/>
  <c r="BI8" i="4"/>
  <c r="BJ23" i="8" l="1"/>
  <c r="BJ37" i="8"/>
  <c r="B38" i="8" s="1"/>
  <c r="B40" i="8" s="1"/>
  <c r="BI35" i="8"/>
  <c r="BJ35" i="8" s="1"/>
  <c r="BJ8" i="4"/>
  <c r="BJ11" i="4" s="1"/>
  <c r="BI11" i="4"/>
  <c r="AH14" i="4"/>
  <c r="AH16" i="4" l="1"/>
  <c r="AH24" i="4" s="1"/>
  <c r="AG18" i="4"/>
  <c r="AG30" i="4" s="1"/>
  <c r="AG24" i="4"/>
  <c r="AI14" i="4"/>
  <c r="AI16" i="4" s="1"/>
  <c r="AH18" i="4" l="1"/>
  <c r="AH20" i="4" s="1"/>
  <c r="AG20" i="4"/>
  <c r="AG21" i="4" s="1"/>
  <c r="AG32" i="4" s="1"/>
  <c r="AG33" i="4" s="1"/>
  <c r="AI24" i="4"/>
  <c r="AJ14" i="4"/>
  <c r="AJ16" i="4" s="1"/>
  <c r="AH30" i="4" l="1"/>
  <c r="AG36" i="4"/>
  <c r="AG34" i="4"/>
  <c r="AK14" i="4"/>
  <c r="AK16" i="4" s="1"/>
  <c r="AJ24" i="4"/>
  <c r="AI18" i="4"/>
  <c r="AG22" i="4"/>
  <c r="AH21" i="4"/>
  <c r="AH32" i="4" s="1"/>
  <c r="AH33" i="4" s="1"/>
  <c r="AH36" i="4" s="1"/>
  <c r="AH34" i="4" l="1"/>
  <c r="AI30" i="4"/>
  <c r="AI20" i="4"/>
  <c r="AI21" i="4" s="1"/>
  <c r="AI32" i="4" s="1"/>
  <c r="AI33" i="4" s="1"/>
  <c r="AI36" i="4" s="1"/>
  <c r="AJ18" i="4"/>
  <c r="AK24" i="4"/>
  <c r="AL14" i="4"/>
  <c r="AL16" i="4" s="1"/>
  <c r="AH22" i="4"/>
  <c r="AI22" i="4" l="1"/>
  <c r="AI34" i="4"/>
  <c r="AM14" i="4"/>
  <c r="AM16" i="4" s="1"/>
  <c r="AL24" i="4"/>
  <c r="AJ20" i="4"/>
  <c r="AJ21" i="4" s="1"/>
  <c r="AJ32" i="4" s="1"/>
  <c r="AJ30" i="4"/>
  <c r="AK18" i="4"/>
  <c r="AJ22" i="4" l="1"/>
  <c r="AJ33" i="4"/>
  <c r="AJ36" i="4" s="1"/>
  <c r="AL18" i="4"/>
  <c r="AK20" i="4"/>
  <c r="AK30" i="4"/>
  <c r="AM24" i="4"/>
  <c r="AN14" i="4"/>
  <c r="AN16" i="4" s="1"/>
  <c r="AJ34" i="4" l="1"/>
  <c r="AO14" i="4"/>
  <c r="AO16" i="4" s="1"/>
  <c r="AN24" i="4"/>
  <c r="AM18" i="4"/>
  <c r="AK21" i="4"/>
  <c r="AK32" i="4" s="1"/>
  <c r="AK33" i="4" s="1"/>
  <c r="AK36" i="4" s="1"/>
  <c r="AL20" i="4"/>
  <c r="AL30" i="4"/>
  <c r="AK22" i="4" l="1"/>
  <c r="AK34" i="4"/>
  <c r="AL21" i="4"/>
  <c r="AL32" i="4" s="1"/>
  <c r="AL33" i="4" s="1"/>
  <c r="AL36" i="4" s="1"/>
  <c r="AM20" i="4"/>
  <c r="AM30" i="4"/>
  <c r="AN18" i="4"/>
  <c r="AP14" i="4"/>
  <c r="AP16" i="4" s="1"/>
  <c r="AO24" i="4"/>
  <c r="AL34" i="4" l="1"/>
  <c r="AL22" i="4"/>
  <c r="AO18" i="4"/>
  <c r="AP24" i="4"/>
  <c r="AQ14" i="4"/>
  <c r="AQ16" i="4" s="1"/>
  <c r="AN30" i="4"/>
  <c r="AN20" i="4"/>
  <c r="AM21" i="4"/>
  <c r="AM32" i="4" s="1"/>
  <c r="AM33" i="4" s="1"/>
  <c r="AM36" i="4" s="1"/>
  <c r="AM34" i="4" l="1"/>
  <c r="AM22" i="4"/>
  <c r="AN21" i="4"/>
  <c r="AN32" i="4" s="1"/>
  <c r="AN33" i="4"/>
  <c r="AN36" i="4" s="1"/>
  <c r="AQ24" i="4"/>
  <c r="AR14" i="4"/>
  <c r="AR16" i="4" s="1"/>
  <c r="AP18" i="4"/>
  <c r="AO30" i="4"/>
  <c r="AO20" i="4"/>
  <c r="AN22" i="4" l="1"/>
  <c r="AN34" i="4"/>
  <c r="AP30" i="4"/>
  <c r="AP20" i="4"/>
  <c r="AR24" i="4"/>
  <c r="AS14" i="4"/>
  <c r="AS16" i="4" s="1"/>
  <c r="AQ18" i="4"/>
  <c r="AO21" i="4"/>
  <c r="AO32" i="4" s="1"/>
  <c r="AO33" i="4" s="1"/>
  <c r="AO36" i="4" s="1"/>
  <c r="AO34" i="4" l="1"/>
  <c r="AO22" i="4"/>
  <c r="AQ30" i="4"/>
  <c r="AQ20" i="4"/>
  <c r="AT14" i="4"/>
  <c r="AT16" i="4" s="1"/>
  <c r="AS24" i="4"/>
  <c r="AR18" i="4"/>
  <c r="AP21" i="4"/>
  <c r="AP32" i="4" s="1"/>
  <c r="AP33" i="4" s="1"/>
  <c r="AP36" i="4" s="1"/>
  <c r="AP34" i="4" l="1"/>
  <c r="AP22" i="4"/>
  <c r="AR20" i="4"/>
  <c r="AR30" i="4"/>
  <c r="AS18" i="4"/>
  <c r="AU14" i="4"/>
  <c r="AU16" i="4" s="1"/>
  <c r="AT24" i="4"/>
  <c r="AQ21" i="4"/>
  <c r="AQ32" i="4" s="1"/>
  <c r="AQ33" i="4" s="1"/>
  <c r="AQ36" i="4" l="1"/>
  <c r="AQ34" i="4"/>
  <c r="AQ22" i="4"/>
  <c r="AT18" i="4"/>
  <c r="AS20" i="4"/>
  <c r="AS30" i="4"/>
  <c r="AU24" i="4"/>
  <c r="AR21" i="4"/>
  <c r="AR32" i="4" s="1"/>
  <c r="AR33" i="4" s="1"/>
  <c r="AR36" i="4" s="1"/>
  <c r="AR34" i="4" l="1"/>
  <c r="AR22" i="4"/>
  <c r="AU18" i="4"/>
  <c r="AS21" i="4"/>
  <c r="AS32" i="4" s="1"/>
  <c r="AS33" i="4" s="1"/>
  <c r="AV24" i="4"/>
  <c r="AT20" i="4"/>
  <c r="AT30" i="4"/>
  <c r="AS36" i="4" l="1"/>
  <c r="AS22" i="4"/>
  <c r="AS34" i="4"/>
  <c r="AU20" i="4"/>
  <c r="AU30" i="4"/>
  <c r="AT21" i="4"/>
  <c r="AT32" i="4" s="1"/>
  <c r="AT33" i="4" s="1"/>
  <c r="AT36" i="4" s="1"/>
  <c r="AW24" i="4"/>
  <c r="AV18" i="4"/>
  <c r="AT22" i="4" l="1"/>
  <c r="AT34" i="4"/>
  <c r="AV20" i="4"/>
  <c r="AV30" i="4"/>
  <c r="AW18" i="4"/>
  <c r="AX24" i="4"/>
  <c r="AU21" i="4"/>
  <c r="AU32" i="4" s="1"/>
  <c r="AU33" i="4" s="1"/>
  <c r="AU36" i="4" s="1"/>
  <c r="AU22" i="4" l="1"/>
  <c r="AU34" i="4"/>
  <c r="AX18" i="4"/>
  <c r="AY24" i="4"/>
  <c r="AW30" i="4"/>
  <c r="AW20" i="4"/>
  <c r="AV21" i="4"/>
  <c r="AV32" i="4" s="1"/>
  <c r="AV33" i="4" s="1"/>
  <c r="AV36" i="4" l="1"/>
  <c r="AV34" i="4"/>
  <c r="AW21" i="4"/>
  <c r="AW32" i="4" s="1"/>
  <c r="AW33" i="4" s="1"/>
  <c r="AW36" i="4" s="1"/>
  <c r="AZ24" i="4"/>
  <c r="AY18" i="4"/>
  <c r="AX20" i="4"/>
  <c r="AX30" i="4"/>
  <c r="AV22" i="4"/>
  <c r="AW34" i="4" l="1"/>
  <c r="AW22" i="4"/>
  <c r="AX21" i="4"/>
  <c r="AX32" i="4" s="1"/>
  <c r="AX33" i="4" s="1"/>
  <c r="AX36" i="4" s="1"/>
  <c r="AY20" i="4"/>
  <c r="AY30" i="4"/>
  <c r="BA24" i="4"/>
  <c r="AZ18" i="4"/>
  <c r="AX22" i="4" l="1"/>
  <c r="AX34" i="4"/>
  <c r="AZ30" i="4"/>
  <c r="AZ20" i="4"/>
  <c r="BA18" i="4"/>
  <c r="BB24" i="4"/>
  <c r="AY21" i="4"/>
  <c r="AY32" i="4" s="1"/>
  <c r="AY33" i="4" s="1"/>
  <c r="AY36" i="4" s="1"/>
  <c r="AY22" i="4" l="1"/>
  <c r="AY34" i="4"/>
  <c r="BC24" i="4"/>
  <c r="BA30" i="4"/>
  <c r="BA20" i="4"/>
  <c r="BB18" i="4"/>
  <c r="AZ21" i="4"/>
  <c r="AZ32" i="4" s="1"/>
  <c r="AZ33" i="4" s="1"/>
  <c r="AZ36" i="4" s="1"/>
  <c r="AZ34" i="4" l="1"/>
  <c r="AZ22" i="4"/>
  <c r="BB30" i="4"/>
  <c r="BB20" i="4"/>
  <c r="BC18" i="4"/>
  <c r="BA21" i="4"/>
  <c r="BA32" i="4" s="1"/>
  <c r="BA33" i="4" s="1"/>
  <c r="BA36" i="4" s="1"/>
  <c r="BD24" i="4"/>
  <c r="BA22" i="4" l="1"/>
  <c r="BA34" i="4"/>
  <c r="BE24" i="4"/>
  <c r="BD18" i="4"/>
  <c r="BC30" i="4"/>
  <c r="BC20" i="4"/>
  <c r="BB21" i="4"/>
  <c r="BB32" i="4" s="1"/>
  <c r="BB33" i="4" s="1"/>
  <c r="BB36" i="4" s="1"/>
  <c r="BB34" i="4" l="1"/>
  <c r="BB22" i="4"/>
  <c r="BE18" i="4"/>
  <c r="BC21" i="4"/>
  <c r="BC32" i="4" s="1"/>
  <c r="BC33" i="4" s="1"/>
  <c r="BC36" i="4" s="1"/>
  <c r="BD30" i="4"/>
  <c r="BD20" i="4"/>
  <c r="BF24" i="4"/>
  <c r="BC34" i="4" l="1"/>
  <c r="BC22" i="4"/>
  <c r="BG24" i="4"/>
  <c r="BD21" i="4"/>
  <c r="BD32" i="4" s="1"/>
  <c r="BD33" i="4" s="1"/>
  <c r="BD36" i="4" s="1"/>
  <c r="BF18" i="4"/>
  <c r="BE30" i="4"/>
  <c r="BE20" i="4"/>
  <c r="BD34" i="4" l="1"/>
  <c r="BD22" i="4"/>
  <c r="BE21" i="4"/>
  <c r="BE32" i="4" s="1"/>
  <c r="BE33" i="4" s="1"/>
  <c r="BE36" i="4" s="1"/>
  <c r="BF30" i="4"/>
  <c r="BF20" i="4"/>
  <c r="BH24" i="4"/>
  <c r="BG18" i="4"/>
  <c r="BE34" i="4" l="1"/>
  <c r="BG20" i="4"/>
  <c r="BG30" i="4"/>
  <c r="BI24" i="4"/>
  <c r="BJ24" i="4"/>
  <c r="BH18" i="4"/>
  <c r="BF21" i="4"/>
  <c r="BF32" i="4" s="1"/>
  <c r="BF33" i="4" s="1"/>
  <c r="BF36" i="4" s="1"/>
  <c r="BE22" i="4"/>
  <c r="BF22" i="4" l="1"/>
  <c r="BF34" i="4"/>
  <c r="BH20" i="4"/>
  <c r="BH30" i="4"/>
  <c r="BJ18" i="4"/>
  <c r="BI18" i="4"/>
  <c r="BG21" i="4"/>
  <c r="BG32" i="4" s="1"/>
  <c r="BG33" i="4" s="1"/>
  <c r="BG36" i="4" s="1"/>
  <c r="BG34" i="4" l="1"/>
  <c r="BK24" i="4"/>
  <c r="B26" i="4" s="1"/>
  <c r="BG22" i="4"/>
  <c r="BI30" i="4"/>
  <c r="BI20" i="4"/>
  <c r="BJ20" i="4"/>
  <c r="BJ30" i="4"/>
  <c r="BH21" i="4"/>
  <c r="BH32" i="4" s="1"/>
  <c r="BH33" i="4" s="1"/>
  <c r="BH36" i="4" s="1"/>
  <c r="BH34" i="4" l="1"/>
  <c r="BH22" i="4"/>
  <c r="BI21" i="4"/>
  <c r="BI32" i="4" s="1"/>
  <c r="BI33" i="4" s="1"/>
  <c r="BI36" i="4" s="1"/>
  <c r="BJ21" i="4"/>
  <c r="BJ32" i="4" s="1"/>
  <c r="BJ33" i="4" s="1"/>
  <c r="B40" i="4" s="1"/>
  <c r="BJ22" i="4" l="1"/>
  <c r="BJ36" i="4"/>
  <c r="B37" i="4" s="1"/>
  <c r="B39" i="4" s="1"/>
  <c r="BI34" i="4"/>
  <c r="BJ34" i="4" s="1"/>
  <c r="BI2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tc={8DEB43C4-363C-42B6-85E2-EC4BE1AEE4B5}</author>
    <author>tc={B9DBC221-74D8-400B-B5B7-ECBC91565680}</author>
    <author>tc={87EE362A-A508-494D-8F24-4CEB56ABA794}</author>
    <author>tc={F1748690-57AF-435C-B4E2-326E24C0751B}</author>
    <author>tc={7B2890F9-10CB-445D-AED6-3CB059107850}</author>
  </authors>
  <commentList>
    <comment ref="B2" authorId="0" shapeId="0" xr:uid="{8DEB43C4-363C-42B6-85E2-EC4BE1AEE4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turbina è compresa qua dentro?
</t>
      </text>
    </comment>
    <comment ref="D4" authorId="1" shapeId="0" xr:uid="{B9DBC221-74D8-400B-B5B7-ECBC91565680}">
      <text>
        <t>[Threaded comment]
Your version of Excel allows you to read this threaded comment; however, any edits to it will get removed if the file is opened in a newer version of Excel. Learn more: https://go.microsoft.com/fwlink/?linkid=870924
Comment:
    24,4 di variable cost e 7,4 di fuel</t>
      </text>
    </comment>
    <comment ref="L4" authorId="2" shapeId="0" xr:uid="{87EE362A-A508-494D-8F24-4CEB56ABA794}">
      <text>
        <t>[Threaded comment]
Your version of Excel allows you to read this threaded comment; however, any edits to it will get removed if the file is opened in a newer version of Excel. Learn more: https://go.microsoft.com/fwlink/?linkid=870924
Comment:
    rapporto da paper da citare</t>
      </text>
    </comment>
    <comment ref="N4" authorId="3" shapeId="0" xr:uid="{F1748690-57AF-435C-B4E2-326E24C0751B}">
      <text>
        <t>[Threaded comment]
Your version of Excel allows you to read this threaded comment; however, any edits to it will get removed if the file is opened in a newer version of Excel. Learn more: https://go.microsoft.com/fwlink/?linkid=870924
Comment:
    l'idrogeno lo abbiamo noi, l'elettricità per farlo andare pure</t>
      </text>
    </comment>
    <comment ref="S4" authorId="4" shapeId="0" xr:uid="{7B2890F9-10CB-445D-AED6-3CB059107850}">
      <text>
        <t>[Threaded comment]
Your version of Excel allows you to read this threaded comment; however, any edits to it will get removed if the file is opened in a newer version of Excel. Learn more: https://go.microsoft.com/fwlink/?linkid=870924
Comment:
    stima per somiglianza con HTSE</t>
      </text>
    </comment>
  </commentList>
</comments>
</file>

<file path=xl/sharedStrings.xml><?xml version="1.0" encoding="utf-8"?>
<sst xmlns="http://schemas.openxmlformats.org/spreadsheetml/2006/main" count="258" uniqueCount="88">
  <si>
    <t>Caso 0</t>
  </si>
  <si>
    <t>Month</t>
  </si>
  <si>
    <t>Energy to Community [MWh]</t>
  </si>
  <si>
    <t>Energy to Market [MWh]</t>
  </si>
  <si>
    <t>Energy from Community [MWh]</t>
  </si>
  <si>
    <t>Syngas [MWh/y]</t>
  </si>
  <si>
    <t>Hydrogen [MWh/y]</t>
  </si>
  <si>
    <t>Caso 1</t>
  </si>
  <si>
    <t>Caso 2</t>
  </si>
  <si>
    <t>Caso 3</t>
  </si>
  <si>
    <t>REVENUES ENERGY TO COMMUNITY</t>
  </si>
  <si>
    <t>AVG PUN ZONALE NORD [€/MWh]</t>
  </si>
  <si>
    <t>Media</t>
  </si>
  <si>
    <t>gen</t>
  </si>
  <si>
    <t>feb</t>
  </si>
  <si>
    <t>mar</t>
  </si>
  <si>
    <t>apr</t>
  </si>
  <si>
    <t>mag</t>
  </si>
  <si>
    <t>giu</t>
  </si>
  <si>
    <t>lug</t>
  </si>
  <si>
    <t>ago</t>
  </si>
  <si>
    <t>sett</t>
  </si>
  <si>
    <t>ott</t>
  </si>
  <si>
    <t>nov</t>
  </si>
  <si>
    <t>dic</t>
  </si>
  <si>
    <t>PREZZO ELETTRICITA MEDIO ANNUALE per RITIRO DEDICATO  [€/MWh]</t>
  </si>
  <si>
    <t>PREZZO GAS MEDIO ANNUALE [€/MWh]</t>
  </si>
  <si>
    <t>PREZZO IDROGENO* [€/MWh]</t>
  </si>
  <si>
    <t>PREZZO ELETTRICITA MEDIO ANNUALE per COMMUNITY [€/MWh]</t>
  </si>
  <si>
    <t>PREZZO ELETTRICITA MEDIO ANNUALE per MERCATO [€/MWh]</t>
  </si>
  <si>
    <t>E-SMR</t>
  </si>
  <si>
    <t>Metanatore</t>
  </si>
  <si>
    <t>CAPEX [€/MW]</t>
  </si>
  <si>
    <t>CAPEX [€]</t>
  </si>
  <si>
    <t>OPEX [€/MWh]</t>
  </si>
  <si>
    <t>OPEX [€]</t>
  </si>
  <si>
    <t>Lifetime [y]</t>
  </si>
  <si>
    <t>OPEX [€/tonCO2]</t>
  </si>
  <si>
    <t>OPEX 0 [€]</t>
  </si>
  <si>
    <t>OPEX 1 [€]</t>
  </si>
  <si>
    <t>OPEX 2 [€]</t>
  </si>
  <si>
    <t>OPEX 3 [€]</t>
  </si>
  <si>
    <t>HTSE</t>
  </si>
  <si>
    <t>OPEX [%CAPEX/year]</t>
  </si>
  <si>
    <t>Compressor</t>
  </si>
  <si>
    <t>Storage</t>
  </si>
  <si>
    <t>CAPEX [€/Kg]</t>
  </si>
  <si>
    <t>Turbine LM6000</t>
  </si>
  <si>
    <t>OPEX [€/MW]</t>
  </si>
  <si>
    <t>Scenario 0</t>
  </si>
  <si>
    <t>Scenario 1</t>
  </si>
  <si>
    <t>Scenario 2</t>
  </si>
  <si>
    <t>Scenario 3</t>
  </si>
  <si>
    <t>Initial CAPEX</t>
  </si>
  <si>
    <t>Tax rate (ires + irap)</t>
  </si>
  <si>
    <t>Energy to Community (MWh)</t>
  </si>
  <si>
    <t>Community price (€/MWh)</t>
  </si>
  <si>
    <t>Energy to Market (MWh)</t>
  </si>
  <si>
    <t>Market price (€/MWh)</t>
  </si>
  <si>
    <t>Fine</t>
  </si>
  <si>
    <t>Income Statement</t>
  </si>
  <si>
    <t>Electricity</t>
  </si>
  <si>
    <t>Hydrogen</t>
  </si>
  <si>
    <t>Syngas</t>
  </si>
  <si>
    <t>Total operating revenues</t>
  </si>
  <si>
    <t>SMR</t>
  </si>
  <si>
    <t>Hydrogen System</t>
  </si>
  <si>
    <t>Methanator</t>
  </si>
  <si>
    <t>Turbine</t>
  </si>
  <si>
    <t xml:space="preserve">OpEx </t>
  </si>
  <si>
    <t>Investment</t>
  </si>
  <si>
    <t>EBITDA</t>
  </si>
  <si>
    <t>Depreciation</t>
  </si>
  <si>
    <t>EBIT</t>
  </si>
  <si>
    <t>Taxes</t>
  </si>
  <si>
    <t>Net Income</t>
  </si>
  <si>
    <t>Present value of costs</t>
  </si>
  <si>
    <t>Present value of energy</t>
  </si>
  <si>
    <t>LCOE (€/kWh)</t>
  </si>
  <si>
    <t>CF Statement</t>
  </si>
  <si>
    <t>Cash Flow</t>
  </si>
  <si>
    <t>Cumulative Cash flow</t>
  </si>
  <si>
    <t>Discounted CF</t>
  </si>
  <si>
    <r>
      <t xml:space="preserve">S </t>
    </r>
    <r>
      <rPr>
        <b/>
        <sz val="11"/>
        <color rgb="FF000000"/>
        <rFont val="Aptos Narrow"/>
        <family val="2"/>
      </rPr>
      <t>DCF</t>
    </r>
  </si>
  <si>
    <t>Initial Investment</t>
  </si>
  <si>
    <t>NPV</t>
  </si>
  <si>
    <t>IRR</t>
  </si>
  <si>
    <t>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</si>
</sst>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0000\ &quot;€&quot;_-;\-* #,##0.00000\ &quot;€&quot;_-;_-* &quot;-&quot;??\ &quot;€&quot;_-;_-@_-"/>
    <numFmt numFmtId="168" formatCode="#,##0.00\ &quot;€&quot;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Symbol"/>
      <family val="1"/>
      <charset val="2"/>
    </font>
    <font>
      <b/>
      <sz val="11"/>
      <color theme="0"/>
      <name val="Aptos Narrow"/>
      <family val="2"/>
    </font>
    <font>
      <sz val="11"/>
      <color rgb="FF000000"/>
      <name val="Aptos Narrow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45F82"/>
        <bgColor rgb="FF000000"/>
      </patternFill>
    </fill>
    <fill>
      <patternFill patternType="solid">
        <fgColor rgb="FFC00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6">
    <xf numFmtId="0" fontId="0" fillId="0" borderId="0" xfId="0"/>
    <xf numFmtId="0" fontId="0" fillId="34" borderId="13" xfId="0" applyFill="1" applyBorder="1"/>
    <xf numFmtId="2" fontId="0" fillId="0" borderId="13" xfId="1" applyNumberFormat="1" applyFont="1" applyBorder="1"/>
    <xf numFmtId="0" fontId="0" fillId="0" borderId="13" xfId="0" applyBorder="1"/>
    <xf numFmtId="2" fontId="0" fillId="35" borderId="13" xfId="1" applyNumberFormat="1" applyFont="1" applyFill="1" applyBorder="1"/>
    <xf numFmtId="0" fontId="18" fillId="34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3" xfId="0" applyNumberFormat="1" applyBorder="1"/>
    <xf numFmtId="0" fontId="17" fillId="36" borderId="13" xfId="0" applyFont="1" applyFill="1" applyBorder="1"/>
    <xf numFmtId="0" fontId="0" fillId="0" borderId="16" xfId="0" applyBorder="1" applyAlignment="1">
      <alignment horizontal="center"/>
    </xf>
    <xf numFmtId="165" fontId="0" fillId="0" borderId="13" xfId="0" applyNumberFormat="1" applyBorder="1"/>
    <xf numFmtId="166" fontId="0" fillId="0" borderId="13" xfId="0" applyNumberFormat="1" applyBorder="1"/>
    <xf numFmtId="0" fontId="19" fillId="0" borderId="0" xfId="0" applyFont="1"/>
    <xf numFmtId="2" fontId="0" fillId="0" borderId="13" xfId="0" applyNumberFormat="1" applyBorder="1" applyAlignment="1">
      <alignment horizontal="center"/>
    </xf>
    <xf numFmtId="0" fontId="0" fillId="37" borderId="14" xfId="0" applyFill="1" applyBorder="1"/>
    <xf numFmtId="0" fontId="17" fillId="36" borderId="17" xfId="0" applyFont="1" applyFill="1" applyBorder="1"/>
    <xf numFmtId="0" fontId="20" fillId="0" borderId="0" xfId="0" applyFont="1"/>
    <xf numFmtId="2" fontId="0" fillId="0" borderId="16" xfId="0" applyNumberFormat="1" applyBorder="1" applyAlignment="1">
      <alignment horizontal="center"/>
    </xf>
    <xf numFmtId="0" fontId="21" fillId="39" borderId="0" xfId="0" applyFont="1" applyFill="1"/>
    <xf numFmtId="8" fontId="19" fillId="0" borderId="0" xfId="0" applyNumberFormat="1" applyFont="1"/>
    <xf numFmtId="10" fontId="19" fillId="0" borderId="0" xfId="0" applyNumberFormat="1" applyFont="1"/>
    <xf numFmtId="2" fontId="19" fillId="0" borderId="0" xfId="0" applyNumberFormat="1" applyFont="1"/>
    <xf numFmtId="44" fontId="0" fillId="0" borderId="0" xfId="0" applyNumberFormat="1"/>
    <xf numFmtId="2" fontId="0" fillId="0" borderId="0" xfId="0" applyNumberFormat="1"/>
    <xf numFmtId="0" fontId="16" fillId="0" borderId="0" xfId="0" applyFont="1"/>
    <xf numFmtId="10" fontId="0" fillId="0" borderId="0" xfId="0" applyNumberFormat="1"/>
    <xf numFmtId="4" fontId="0" fillId="0" borderId="0" xfId="0" applyNumberFormat="1"/>
    <xf numFmtId="0" fontId="19" fillId="0" borderId="20" xfId="0" applyFont="1" applyBorder="1"/>
    <xf numFmtId="0" fontId="13" fillId="40" borderId="20" xfId="0" applyFont="1" applyFill="1" applyBorder="1"/>
    <xf numFmtId="0" fontId="21" fillId="39" borderId="20" xfId="0" applyFont="1" applyFill="1" applyBorder="1"/>
    <xf numFmtId="0" fontId="0" fillId="0" borderId="20" xfId="0" applyBorder="1"/>
    <xf numFmtId="44" fontId="19" fillId="0" borderId="20" xfId="0" applyNumberFormat="1" applyFont="1" applyBorder="1"/>
    <xf numFmtId="8" fontId="19" fillId="0" borderId="20" xfId="0" applyNumberFormat="1" applyFont="1" applyBorder="1"/>
    <xf numFmtId="0" fontId="22" fillId="0" borderId="20" xfId="0" applyFont="1" applyBorder="1"/>
    <xf numFmtId="44" fontId="22" fillId="0" borderId="20" xfId="0" applyNumberFormat="1" applyFont="1" applyBorder="1"/>
    <xf numFmtId="44" fontId="0" fillId="0" borderId="20" xfId="0" applyNumberFormat="1" applyBorder="1"/>
    <xf numFmtId="4" fontId="22" fillId="0" borderId="20" xfId="0" applyNumberFormat="1" applyFont="1" applyBorder="1"/>
    <xf numFmtId="167" fontId="22" fillId="0" borderId="20" xfId="0" applyNumberFormat="1" applyFont="1" applyBorder="1"/>
    <xf numFmtId="44" fontId="0" fillId="0" borderId="20" xfId="1" applyFont="1" applyBorder="1"/>
    <xf numFmtId="44" fontId="16" fillId="0" borderId="20" xfId="1" applyFont="1" applyBorder="1"/>
    <xf numFmtId="0" fontId="23" fillId="0" borderId="20" xfId="0" applyFont="1" applyBorder="1"/>
    <xf numFmtId="10" fontId="16" fillId="0" borderId="20" xfId="1" applyNumberFormat="1" applyFont="1" applyBorder="1"/>
    <xf numFmtId="168" fontId="19" fillId="0" borderId="0" xfId="0" applyNumberFormat="1" applyFont="1"/>
    <xf numFmtId="0" fontId="24" fillId="33" borderId="20" xfId="0" applyFont="1" applyFill="1" applyBorder="1" applyAlignment="1">
      <alignment horizontal="center"/>
    </xf>
    <xf numFmtId="0" fontId="20" fillId="33" borderId="18" xfId="0" applyFont="1" applyFill="1" applyBorder="1" applyAlignment="1">
      <alignment horizontal="center"/>
    </xf>
    <xf numFmtId="164" fontId="17" fillId="38" borderId="14" xfId="0" applyNumberFormat="1" applyFont="1" applyFill="1" applyBorder="1" applyAlignment="1">
      <alignment horizontal="center"/>
    </xf>
    <xf numFmtId="164" fontId="17" fillId="38" borderId="16" xfId="0" applyNumberFormat="1" applyFont="1" applyFill="1" applyBorder="1" applyAlignment="1">
      <alignment horizontal="center"/>
    </xf>
    <xf numFmtId="164" fontId="17" fillId="38" borderId="15" xfId="0" applyNumberFormat="1" applyFont="1" applyFill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13" fillId="33" borderId="14" xfId="0" applyFont="1" applyFill="1" applyBorder="1" applyAlignment="1">
      <alignment horizontal="center"/>
    </xf>
    <xf numFmtId="0" fontId="13" fillId="33" borderId="15" xfId="0" applyFont="1" applyFill="1" applyBorder="1" applyAlignment="1">
      <alignment horizontal="center"/>
    </xf>
    <xf numFmtId="0" fontId="13" fillId="33" borderId="16" xfId="0" applyFont="1" applyFill="1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7" fillId="33" borderId="14" xfId="0" applyFont="1" applyFill="1" applyBorder="1" applyAlignment="1">
      <alignment horizontal="center"/>
    </xf>
    <xf numFmtId="0" fontId="17" fillId="33" borderId="15" xfId="0" applyFont="1" applyFill="1" applyBorder="1" applyAlignment="1">
      <alignment horizontal="center"/>
    </xf>
    <xf numFmtId="0" fontId="17" fillId="33" borderId="16" xfId="0" applyFont="1" applyFill="1" applyBorder="1" applyAlignment="1">
      <alignment horizontal="center"/>
    </xf>
    <xf numFmtId="0" fontId="17" fillId="33" borderId="19" xfId="0" applyFont="1" applyFill="1" applyBorder="1" applyAlignment="1">
      <alignment horizontal="center"/>
    </xf>
    <xf numFmtId="0" fontId="17" fillId="33" borderId="18" xfId="0" applyFont="1" applyFill="1" applyBorder="1" applyAlignment="1">
      <alignment horizontal="center"/>
    </xf>
    <xf numFmtId="0" fontId="17" fillId="33" borderId="13" xfId="0" applyFont="1" applyFill="1" applyBorder="1" applyAlignment="1">
      <alignment horizontal="center"/>
    </xf>
    <xf numFmtId="0" fontId="17" fillId="36" borderId="14" xfId="0" applyFont="1" applyFill="1" applyBorder="1" applyAlignment="1">
      <alignment horizontal="center"/>
    </xf>
    <xf numFmtId="0" fontId="17" fillId="36" borderId="16" xfId="0" applyFont="1" applyFill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0" fontId="24" fillId="33" borderId="20" xfId="0" applyFont="1" applyFill="1" applyBorder="1" applyAlignment="1">
      <alignment horizontal="center"/>
    </xf>
    <xf numFmtId="0" fontId="25" fillId="0" borderId="20" xfId="0" applyFont="1" applyBorder="1"/>
    <xf numFmtId="44" fontId="25" fillId="0" borderId="20" xfId="0" applyNumberFormat="1" applyFont="1" applyBorder="1"/>
    <xf numFmtId="8" fontId="22" fillId="0" borderId="20" xfId="0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57150</xdr:colOff>
      <xdr:row>8</xdr:row>
      <xdr:rowOff>114300</xdr:rowOff>
    </xdr:from>
    <xdr:to>
      <xdr:col>14</xdr:col>
      <xdr:colOff>57150</xdr:colOff>
      <xdr:row>8</xdr:row>
      <xdr:rowOff>114300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108F5F9-64C1-D28B-5DA7-9FF0ECF80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1950" y="1485900"/>
          <a:ext cx="0" cy="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tente guest" id="{41F43782-D5FA-42B8-AA8E-AFB560FF6C9C}" userId="S::urn:spo:tenantanon#9f452a3f-3a64-4b61-8340-2111da4a2144::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6-28T10:08:08.82" personId="{41F43782-D5FA-42B8-AA8E-AFB560FF6C9C}" id="{8DEB43C4-363C-42B6-85E2-EC4BE1AEE4B5}">
    <text xml:space="preserve">la turbina è compresa qua dentro?
</text>
  </threadedComment>
  <threadedComment ref="D4" dT="2025-06-27T20:41:12.44" personId="{41F43782-D5FA-42B8-AA8E-AFB560FF6C9C}" id="{B9DBC221-74D8-400B-B5B7-ECBC91565680}">
    <text>24,4 di variable cost e 7,4 di fuel</text>
  </threadedComment>
  <threadedComment ref="L4" dT="2025-06-28T16:54:19.44" personId="{41F43782-D5FA-42B8-AA8E-AFB560FF6C9C}" id="{87EE362A-A508-494D-8F24-4CEB56ABA794}">
    <text>rapporto da paper da citare</text>
  </threadedComment>
  <threadedComment ref="N4" dT="2025-06-28T10:07:54.25" personId="{41F43782-D5FA-42B8-AA8E-AFB560FF6C9C}" id="{F1748690-57AF-435C-B4E2-326E24C0751B}">
    <text>l'idrogeno lo abbiamo noi, l'elettricità per farlo andare pure</text>
  </threadedComment>
  <threadedComment ref="S4" dT="2025-06-28T16:53:44.89" personId="{41F43782-D5FA-42B8-AA8E-AFB560FF6C9C}" id="{7B2890F9-10CB-445D-AED6-3CB059107850}">
    <text>stima per somiglianza con HTSE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6C04-C312-42BE-8C25-78C16574AC07}">
  <dimension ref="A1:H56"/>
  <sheetViews>
    <sheetView zoomScale="30" workbookViewId="0">
      <selection activeCell="I48" sqref="I1:I48"/>
    </sheetView>
  </sheetViews>
  <sheetFormatPr defaultRowHeight="14.4" x14ac:dyDescent="0.3"/>
  <cols>
    <col min="2" max="2" width="8" customWidth="1"/>
    <col min="3" max="3" width="35.88671875" customWidth="1"/>
    <col min="4" max="4" width="22" customWidth="1"/>
    <col min="5" max="5" width="28.88671875" customWidth="1"/>
    <col min="6" max="6" width="15.33203125" customWidth="1"/>
    <col min="7" max="7" width="17.109375" customWidth="1"/>
    <col min="8" max="8" width="12.44140625" bestFit="1" customWidth="1"/>
    <col min="9" max="9" width="17" bestFit="1" customWidth="1"/>
  </cols>
  <sheetData>
    <row r="1" spans="1:8" x14ac:dyDescent="0.3">
      <c r="B1" s="44" t="s">
        <v>0</v>
      </c>
      <c r="C1" s="44"/>
      <c r="D1" s="44"/>
      <c r="E1" s="44"/>
      <c r="F1" s="44"/>
      <c r="G1" s="44"/>
      <c r="H1" s="16"/>
    </row>
    <row r="2" spans="1:8" x14ac:dyDescent="0.3">
      <c r="B2" s="8" t="s">
        <v>1</v>
      </c>
      <c r="C2" s="15" t="s">
        <v>2</v>
      </c>
      <c r="D2" s="15" t="s">
        <v>3</v>
      </c>
      <c r="E2" s="8" t="s">
        <v>4</v>
      </c>
      <c r="F2" s="8" t="s">
        <v>5</v>
      </c>
      <c r="G2" s="8" t="s">
        <v>6</v>
      </c>
    </row>
    <row r="3" spans="1:8" x14ac:dyDescent="0.3">
      <c r="B3" s="14">
        <v>1</v>
      </c>
      <c r="C3" s="13">
        <v>35367.717750848802</v>
      </c>
      <c r="D3" s="17">
        <v>44297.227201537098</v>
      </c>
      <c r="E3" s="17">
        <v>0</v>
      </c>
      <c r="F3" s="13">
        <v>417245.84</v>
      </c>
      <c r="G3" s="13">
        <f>174008.17</f>
        <v>174008.17</v>
      </c>
    </row>
    <row r="4" spans="1:8" x14ac:dyDescent="0.3">
      <c r="B4" s="14">
        <v>2</v>
      </c>
      <c r="C4" s="13">
        <v>29498.950644978398</v>
      </c>
      <c r="D4" s="17">
        <v>40716.360104741303</v>
      </c>
      <c r="E4" s="17">
        <v>0</v>
      </c>
    </row>
    <row r="5" spans="1:8" x14ac:dyDescent="0.3">
      <c r="B5" s="14">
        <v>3</v>
      </c>
      <c r="C5" s="13">
        <v>31329.609825523501</v>
      </c>
      <c r="D5" s="17">
        <v>43233.682915184902</v>
      </c>
      <c r="E5" s="17">
        <v>0</v>
      </c>
      <c r="F5" s="23"/>
    </row>
    <row r="6" spans="1:8" x14ac:dyDescent="0.3">
      <c r="B6" s="14">
        <v>4</v>
      </c>
      <c r="C6" s="13">
        <v>28800.111278665299</v>
      </c>
      <c r="D6" s="17">
        <v>37584.300452323303</v>
      </c>
      <c r="E6" s="17">
        <v>0</v>
      </c>
    </row>
    <row r="7" spans="1:8" x14ac:dyDescent="0.3">
      <c r="B7" s="14">
        <v>5</v>
      </c>
      <c r="C7" s="13">
        <v>29505.5675282025</v>
      </c>
      <c r="D7" s="17">
        <v>38958.224352041601</v>
      </c>
      <c r="E7" s="17">
        <v>0</v>
      </c>
    </row>
    <row r="8" spans="1:8" x14ac:dyDescent="0.3">
      <c r="B8" s="14">
        <v>6</v>
      </c>
      <c r="C8" s="13">
        <v>28599.407520305202</v>
      </c>
      <c r="D8" s="17">
        <v>37878.908352135302</v>
      </c>
      <c r="E8" s="17">
        <v>0</v>
      </c>
    </row>
    <row r="9" spans="1:8" x14ac:dyDescent="0.3">
      <c r="B9" s="14">
        <v>7</v>
      </c>
      <c r="C9" s="13">
        <v>30096.534627292702</v>
      </c>
      <c r="D9" s="17">
        <v>39440.053318254999</v>
      </c>
      <c r="E9" s="17">
        <v>0</v>
      </c>
    </row>
    <row r="10" spans="1:8" x14ac:dyDescent="0.3">
      <c r="B10" s="14">
        <v>8</v>
      </c>
      <c r="C10" s="13">
        <v>29512.935947139002</v>
      </c>
      <c r="D10" s="17">
        <v>39046.022789604896</v>
      </c>
      <c r="E10" s="17">
        <v>0</v>
      </c>
    </row>
    <row r="11" spans="1:8" x14ac:dyDescent="0.3">
      <c r="B11" s="14">
        <v>9</v>
      </c>
      <c r="C11" s="13">
        <v>28491.8799650775</v>
      </c>
      <c r="D11" s="17">
        <v>38142.3036648251</v>
      </c>
      <c r="E11" s="17">
        <v>0</v>
      </c>
    </row>
    <row r="12" spans="1:8" x14ac:dyDescent="0.3">
      <c r="B12" s="14">
        <v>10</v>
      </c>
      <c r="C12" s="13">
        <v>30358.566749632198</v>
      </c>
      <c r="D12" s="17">
        <v>41768.648091744697</v>
      </c>
      <c r="E12" s="17">
        <v>0</v>
      </c>
    </row>
    <row r="13" spans="1:8" x14ac:dyDescent="0.3">
      <c r="B13" s="14">
        <v>11</v>
      </c>
      <c r="C13" s="13">
        <v>32304.268387374599</v>
      </c>
      <c r="D13" s="17">
        <v>42802.842749902899</v>
      </c>
      <c r="E13" s="17">
        <v>0</v>
      </c>
    </row>
    <row r="14" spans="1:8" x14ac:dyDescent="0.3">
      <c r="B14" s="14">
        <v>12</v>
      </c>
      <c r="C14" s="13">
        <v>35391.708944079997</v>
      </c>
      <c r="D14" s="17">
        <v>43690.912791770497</v>
      </c>
      <c r="E14" s="17">
        <v>0</v>
      </c>
    </row>
    <row r="15" spans="1:8" x14ac:dyDescent="0.3">
      <c r="A15" s="12"/>
      <c r="B15" s="44" t="s">
        <v>7</v>
      </c>
      <c r="C15" s="44"/>
      <c r="D15" s="44"/>
      <c r="E15" s="44"/>
      <c r="F15" s="44"/>
      <c r="G15" s="44"/>
    </row>
    <row r="16" spans="1:8" x14ac:dyDescent="0.3">
      <c r="A16" s="12"/>
      <c r="B16" s="8" t="s">
        <v>1</v>
      </c>
      <c r="C16" s="15" t="s">
        <v>2</v>
      </c>
      <c r="D16" s="15" t="s">
        <v>3</v>
      </c>
      <c r="E16" s="8" t="s">
        <v>4</v>
      </c>
      <c r="F16" s="8" t="s">
        <v>5</v>
      </c>
      <c r="G16" s="8" t="s">
        <v>6</v>
      </c>
    </row>
    <row r="17" spans="1:7" x14ac:dyDescent="0.3">
      <c r="A17" s="12"/>
      <c r="B17" s="14">
        <v>1</v>
      </c>
      <c r="C17" s="17">
        <v>36163.881352139499</v>
      </c>
      <c r="D17" s="17">
        <v>36084.3083749906</v>
      </c>
      <c r="E17" s="17">
        <v>0</v>
      </c>
      <c r="F17" s="6">
        <v>418912.28</v>
      </c>
      <c r="G17" s="6">
        <f>4819970*36.11/1000</f>
        <v>174049.11669999998</v>
      </c>
    </row>
    <row r="18" spans="1:7" x14ac:dyDescent="0.3">
      <c r="A18" s="12"/>
      <c r="B18" s="14">
        <v>2</v>
      </c>
      <c r="C18" s="17">
        <v>28275.131847087199</v>
      </c>
      <c r="D18" s="17">
        <v>33920.278663607598</v>
      </c>
      <c r="E18" s="17">
        <v>0</v>
      </c>
    </row>
    <row r="19" spans="1:7" x14ac:dyDescent="0.3">
      <c r="A19" s="12"/>
      <c r="B19" s="14">
        <v>3</v>
      </c>
      <c r="C19" s="17">
        <v>28566.7802978541</v>
      </c>
      <c r="D19" s="17">
        <v>39631.363713491199</v>
      </c>
      <c r="E19" s="17">
        <v>0</v>
      </c>
    </row>
    <row r="20" spans="1:7" x14ac:dyDescent="0.3">
      <c r="A20" s="12"/>
      <c r="B20" s="14">
        <v>4</v>
      </c>
      <c r="C20" s="17">
        <v>24649.181086840799</v>
      </c>
      <c r="D20" s="17">
        <v>41368.141938590503</v>
      </c>
      <c r="E20" s="17">
        <v>0</v>
      </c>
    </row>
    <row r="21" spans="1:7" x14ac:dyDescent="0.3">
      <c r="A21" s="12"/>
      <c r="B21" s="14">
        <v>5</v>
      </c>
      <c r="C21" s="17">
        <v>24900.419700655999</v>
      </c>
      <c r="D21" s="17">
        <v>43326.332971265001</v>
      </c>
      <c r="E21" s="17">
        <v>0</v>
      </c>
    </row>
    <row r="22" spans="1:7" x14ac:dyDescent="0.3">
      <c r="A22" s="12"/>
      <c r="B22" s="14">
        <v>6</v>
      </c>
      <c r="C22" s="17">
        <v>23439.206743662598</v>
      </c>
      <c r="D22" s="17">
        <v>42113.408348790697</v>
      </c>
      <c r="E22" s="17">
        <v>0</v>
      </c>
    </row>
    <row r="23" spans="1:7" x14ac:dyDescent="0.3">
      <c r="A23" s="12"/>
      <c r="B23" s="14">
        <v>7</v>
      </c>
      <c r="C23" s="17">
        <v>24795.541096626301</v>
      </c>
      <c r="D23" s="17">
        <v>43440.846364756202</v>
      </c>
      <c r="E23" s="17">
        <v>0</v>
      </c>
    </row>
    <row r="24" spans="1:7" x14ac:dyDescent="0.3">
      <c r="A24" s="12"/>
      <c r="B24" s="14">
        <v>8</v>
      </c>
      <c r="C24" s="17">
        <v>24642.725377125498</v>
      </c>
      <c r="D24" s="17">
        <v>42761.642582012297</v>
      </c>
      <c r="E24" s="17">
        <v>0</v>
      </c>
    </row>
    <row r="25" spans="1:7" x14ac:dyDescent="0.3">
      <c r="A25" s="12"/>
      <c r="B25" s="14">
        <v>9</v>
      </c>
      <c r="C25" s="17">
        <v>24578.283946840202</v>
      </c>
      <c r="D25" s="17">
        <v>41769.868168317</v>
      </c>
      <c r="E25" s="17">
        <v>0</v>
      </c>
    </row>
    <row r="26" spans="1:7" x14ac:dyDescent="0.3">
      <c r="A26" s="12"/>
      <c r="B26" s="14">
        <v>10</v>
      </c>
      <c r="C26" s="17">
        <v>27327.903420844999</v>
      </c>
      <c r="D26" s="17">
        <v>41269.774945211197</v>
      </c>
      <c r="E26" s="17">
        <v>0</v>
      </c>
    </row>
    <row r="27" spans="1:7" x14ac:dyDescent="0.3">
      <c r="A27" s="12"/>
      <c r="B27" s="14">
        <v>11</v>
      </c>
      <c r="C27" s="17">
        <v>30921.629422001301</v>
      </c>
      <c r="D27" s="17">
        <v>35944.191045414103</v>
      </c>
      <c r="E27" s="17">
        <v>0</v>
      </c>
    </row>
    <row r="28" spans="1:7" x14ac:dyDescent="0.3">
      <c r="B28" s="14">
        <v>12</v>
      </c>
      <c r="C28" s="17">
        <v>35930.2404013876</v>
      </c>
      <c r="D28" s="17">
        <v>35601.223136185603</v>
      </c>
      <c r="E28" s="17">
        <v>0</v>
      </c>
    </row>
    <row r="29" spans="1:7" x14ac:dyDescent="0.3">
      <c r="B29" s="44" t="s">
        <v>8</v>
      </c>
      <c r="C29" s="44"/>
      <c r="D29" s="44"/>
      <c r="E29" s="44"/>
      <c r="F29" s="44"/>
      <c r="G29" s="44"/>
    </row>
    <row r="30" spans="1:7" x14ac:dyDescent="0.3">
      <c r="B30" s="8" t="s">
        <v>1</v>
      </c>
      <c r="C30" s="15" t="s">
        <v>2</v>
      </c>
      <c r="D30" s="15" t="s">
        <v>3</v>
      </c>
      <c r="E30" s="15" t="s">
        <v>4</v>
      </c>
      <c r="F30" s="8" t="s">
        <v>5</v>
      </c>
      <c r="G30" s="8" t="s">
        <v>6</v>
      </c>
    </row>
    <row r="31" spans="1:7" x14ac:dyDescent="0.3">
      <c r="B31" s="14">
        <v>1</v>
      </c>
      <c r="C31" s="17">
        <v>34990.909371872898</v>
      </c>
      <c r="D31" s="17">
        <v>37138.306502448497</v>
      </c>
      <c r="E31" s="17">
        <v>0</v>
      </c>
      <c r="F31" s="9">
        <v>424581.22</v>
      </c>
      <c r="G31" s="6">
        <f>174240.14</f>
        <v>174240.14</v>
      </c>
    </row>
    <row r="32" spans="1:7" x14ac:dyDescent="0.3">
      <c r="B32" s="14">
        <v>2</v>
      </c>
      <c r="C32" s="17">
        <v>25234.331025671301</v>
      </c>
      <c r="D32" s="17">
        <v>36344.519595171601</v>
      </c>
      <c r="E32" s="17">
        <v>9.8532982558942805</v>
      </c>
    </row>
    <row r="33" spans="2:7" x14ac:dyDescent="0.3">
      <c r="B33" s="14">
        <v>3</v>
      </c>
      <c r="C33" s="17">
        <v>24578.924427374099</v>
      </c>
      <c r="D33" s="17">
        <v>43841.8791887888</v>
      </c>
      <c r="E33" s="17">
        <v>279.06455798781099</v>
      </c>
    </row>
    <row r="34" spans="2:7" x14ac:dyDescent="0.3">
      <c r="B34" s="14">
        <v>4</v>
      </c>
      <c r="C34" s="17">
        <v>20294.7100188062</v>
      </c>
      <c r="D34" s="17">
        <v>46412.964000963599</v>
      </c>
      <c r="E34" s="17">
        <v>603.98304472559403</v>
      </c>
    </row>
    <row r="35" spans="2:7" x14ac:dyDescent="0.3">
      <c r="B35" s="14">
        <v>5</v>
      </c>
      <c r="C35" s="17">
        <v>20713.849459307301</v>
      </c>
      <c r="D35" s="17">
        <v>47545.139659078297</v>
      </c>
      <c r="E35" s="17">
        <v>536.28284852909201</v>
      </c>
    </row>
    <row r="36" spans="2:7" x14ac:dyDescent="0.3">
      <c r="B36" s="14">
        <v>6</v>
      </c>
      <c r="C36" s="17">
        <v>18507.8436939278</v>
      </c>
      <c r="D36" s="17">
        <v>47220.854624978703</v>
      </c>
      <c r="E36" s="17">
        <v>707.69192568789902</v>
      </c>
    </row>
    <row r="37" spans="2:7" x14ac:dyDescent="0.3">
      <c r="B37" s="14">
        <v>7</v>
      </c>
      <c r="C37" s="17">
        <v>19678.9243588717</v>
      </c>
      <c r="D37" s="17">
        <v>48840.485278930399</v>
      </c>
      <c r="E37" s="17">
        <v>560.67999304802095</v>
      </c>
    </row>
    <row r="38" spans="2:7" x14ac:dyDescent="0.3">
      <c r="B38" s="14">
        <v>8</v>
      </c>
      <c r="C38" s="17">
        <v>19998.2807237497</v>
      </c>
      <c r="D38" s="17">
        <v>48156.452782143402</v>
      </c>
      <c r="E38" s="17">
        <v>484.94320892123102</v>
      </c>
    </row>
    <row r="39" spans="2:7" x14ac:dyDescent="0.3">
      <c r="B39" s="14">
        <v>9</v>
      </c>
      <c r="C39" s="17">
        <v>20914.643844684499</v>
      </c>
      <c r="D39" s="17">
        <v>46194.805879798201</v>
      </c>
      <c r="E39" s="17">
        <v>143.57074270635101</v>
      </c>
    </row>
    <row r="40" spans="2:7" x14ac:dyDescent="0.3">
      <c r="B40" s="14">
        <v>10</v>
      </c>
      <c r="C40" s="17">
        <v>24369.360959478501</v>
      </c>
      <c r="D40" s="17">
        <v>43110.246132888402</v>
      </c>
      <c r="E40" s="17">
        <v>18.626697423852001</v>
      </c>
    </row>
    <row r="41" spans="2:7" x14ac:dyDescent="0.3">
      <c r="B41" s="14">
        <v>11</v>
      </c>
      <c r="C41" s="17">
        <v>28134.2723798728</v>
      </c>
      <c r="D41" s="17">
        <v>38069.6094880936</v>
      </c>
      <c r="E41" s="17">
        <v>1.3341746047321099</v>
      </c>
    </row>
    <row r="42" spans="2:7" x14ac:dyDescent="0.3">
      <c r="B42" s="14">
        <v>12</v>
      </c>
      <c r="C42" s="17">
        <v>34808.723891631002</v>
      </c>
      <c r="D42" s="17">
        <v>36280.281078049098</v>
      </c>
      <c r="E42" s="17">
        <v>0</v>
      </c>
    </row>
    <row r="43" spans="2:7" x14ac:dyDescent="0.3">
      <c r="B43" s="44" t="s">
        <v>9</v>
      </c>
      <c r="C43" s="44"/>
      <c r="D43" s="44"/>
      <c r="E43" s="44"/>
      <c r="F43" s="44"/>
      <c r="G43" s="44"/>
    </row>
    <row r="44" spans="2:7" x14ac:dyDescent="0.3">
      <c r="B44" s="8" t="s">
        <v>1</v>
      </c>
      <c r="C44" s="15" t="s">
        <v>2</v>
      </c>
      <c r="D44" s="15" t="s">
        <v>3</v>
      </c>
      <c r="E44" s="15" t="s">
        <v>4</v>
      </c>
      <c r="F44" s="8" t="s">
        <v>5</v>
      </c>
      <c r="G44" s="8" t="s">
        <v>6</v>
      </c>
    </row>
    <row r="45" spans="2:7" x14ac:dyDescent="0.3">
      <c r="B45" s="14">
        <v>1</v>
      </c>
      <c r="C45" s="17">
        <v>34417.013564022498</v>
      </c>
      <c r="D45" s="17">
        <v>37507.556244525302</v>
      </c>
      <c r="E45" s="17">
        <v>271.61738475386602</v>
      </c>
      <c r="F45" s="9">
        <v>418133.45</v>
      </c>
      <c r="G45" s="6">
        <f>174004.45</f>
        <v>174004.45</v>
      </c>
    </row>
    <row r="46" spans="2:7" x14ac:dyDescent="0.3">
      <c r="B46" s="14">
        <v>2</v>
      </c>
      <c r="C46" s="17">
        <v>22373.571982109999</v>
      </c>
      <c r="D46" s="17">
        <v>41622.227369947897</v>
      </c>
      <c r="E46" s="17">
        <v>1490.93112930334</v>
      </c>
    </row>
    <row r="47" spans="2:7" x14ac:dyDescent="0.3">
      <c r="B47" s="14">
        <v>3</v>
      </c>
      <c r="C47" s="17">
        <v>22087.042871255599</v>
      </c>
      <c r="D47" s="17">
        <v>50341.106637476099</v>
      </c>
      <c r="E47" s="17">
        <v>3764.5130580858699</v>
      </c>
    </row>
    <row r="48" spans="2:7" x14ac:dyDescent="0.3">
      <c r="B48" s="14">
        <v>4</v>
      </c>
      <c r="C48" s="17">
        <v>18391.4477874148</v>
      </c>
      <c r="D48" s="17">
        <v>53777.212551575802</v>
      </c>
      <c r="E48" s="17">
        <v>5556.2163363449799</v>
      </c>
    </row>
    <row r="49" spans="2:5" x14ac:dyDescent="0.3">
      <c r="B49" s="14">
        <v>5</v>
      </c>
      <c r="C49" s="17">
        <v>19221.9671832352</v>
      </c>
      <c r="D49" s="17">
        <v>53054.4960904135</v>
      </c>
      <c r="E49" s="17">
        <v>4920.56137352515</v>
      </c>
    </row>
    <row r="50" spans="2:5" x14ac:dyDescent="0.3">
      <c r="B50" s="14">
        <v>6</v>
      </c>
      <c r="C50" s="17">
        <v>16378.694416046401</v>
      </c>
      <c r="D50" s="17">
        <v>55397.7423442769</v>
      </c>
      <c r="E50" s="17">
        <v>6480.6243911410602</v>
      </c>
    </row>
    <row r="51" spans="2:5" x14ac:dyDescent="0.3">
      <c r="B51" s="14">
        <v>7</v>
      </c>
      <c r="C51" s="17">
        <v>17666.460963704099</v>
      </c>
      <c r="D51" s="17">
        <v>56538.071997020001</v>
      </c>
      <c r="E51" s="17">
        <v>6347.5298313322901</v>
      </c>
    </row>
    <row r="52" spans="2:5" x14ac:dyDescent="0.3">
      <c r="B52" s="14">
        <v>8</v>
      </c>
      <c r="C52" s="17">
        <v>18072.256511604799</v>
      </c>
      <c r="D52" s="17">
        <v>55325.490390998697</v>
      </c>
      <c r="E52" s="17">
        <v>5367.6053670393803</v>
      </c>
    </row>
    <row r="53" spans="2:5" x14ac:dyDescent="0.3">
      <c r="B53" s="14">
        <v>9</v>
      </c>
      <c r="C53" s="17">
        <v>19558.088549148801</v>
      </c>
      <c r="D53" s="17">
        <v>49246.486904423502</v>
      </c>
      <c r="E53" s="17">
        <v>3014.2289192005101</v>
      </c>
    </row>
    <row r="54" spans="2:5" x14ac:dyDescent="0.3">
      <c r="B54" s="14">
        <v>10</v>
      </c>
      <c r="C54" s="17">
        <v>23546.171595277799</v>
      </c>
      <c r="D54" s="17">
        <v>47223.392691056702</v>
      </c>
      <c r="E54" s="17">
        <v>1355.0640836355301</v>
      </c>
    </row>
    <row r="55" spans="2:5" x14ac:dyDescent="0.3">
      <c r="B55" s="14">
        <v>11</v>
      </c>
      <c r="C55" s="17">
        <v>26034.8908450743</v>
      </c>
      <c r="D55" s="17">
        <v>41702.369604906198</v>
      </c>
      <c r="E55" s="17">
        <v>874.20041089516894</v>
      </c>
    </row>
    <row r="56" spans="2:5" x14ac:dyDescent="0.3">
      <c r="B56" s="14">
        <v>12</v>
      </c>
      <c r="C56" s="17">
        <v>34829.080688813403</v>
      </c>
      <c r="D56" s="17">
        <v>37507.556244525302</v>
      </c>
      <c r="E56" s="17">
        <v>139.89018606853901</v>
      </c>
    </row>
  </sheetData>
  <mergeCells count="4">
    <mergeCell ref="B43:G43"/>
    <mergeCell ref="B1:G1"/>
    <mergeCell ref="B15:G15"/>
    <mergeCell ref="B29:G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613A-3D84-4933-A1E9-60EC705500A7}">
  <dimension ref="B2:J35"/>
  <sheetViews>
    <sheetView zoomScale="44" workbookViewId="0">
      <selection activeCell="U15" sqref="U15"/>
    </sheetView>
  </sheetViews>
  <sheetFormatPr defaultRowHeight="14.4" x14ac:dyDescent="0.3"/>
  <cols>
    <col min="2" max="2" width="4.6640625" customWidth="1"/>
    <col min="3" max="3" width="14.109375" customWidth="1"/>
    <col min="4" max="5" width="10.44140625" customWidth="1"/>
    <col min="6" max="6" width="10.109375" customWidth="1"/>
    <col min="7" max="7" width="11" customWidth="1"/>
    <col min="8" max="8" width="9" bestFit="1" customWidth="1"/>
    <col min="10" max="10" width="7.6640625" customWidth="1"/>
  </cols>
  <sheetData>
    <row r="2" spans="2:6" x14ac:dyDescent="0.3">
      <c r="B2" s="54" t="s">
        <v>10</v>
      </c>
      <c r="C2" s="55"/>
      <c r="D2" s="55"/>
      <c r="E2" s="55"/>
      <c r="F2" s="55"/>
    </row>
    <row r="4" spans="2:6" x14ac:dyDescent="0.3">
      <c r="C4" s="56" t="s">
        <v>11</v>
      </c>
      <c r="D4" s="57"/>
      <c r="E4" s="57"/>
      <c r="F4" s="58"/>
    </row>
    <row r="5" spans="2:6" x14ac:dyDescent="0.3">
      <c r="B5" s="3"/>
      <c r="C5" s="5">
        <v>2023</v>
      </c>
      <c r="D5" s="5">
        <v>2024</v>
      </c>
      <c r="E5" s="5">
        <v>2025</v>
      </c>
      <c r="F5" s="5" t="s">
        <v>12</v>
      </c>
    </row>
    <row r="6" spans="2:6" x14ac:dyDescent="0.3">
      <c r="B6" s="1" t="s">
        <v>13</v>
      </c>
      <c r="C6" s="2">
        <v>176.94</v>
      </c>
      <c r="D6" s="2">
        <v>99.34</v>
      </c>
      <c r="E6" s="2">
        <v>143.32</v>
      </c>
      <c r="F6" s="7">
        <f t="shared" ref="F6:F16" si="0">0.4*E6+0.35*D6+0.25*C6</f>
        <v>136.33199999999999</v>
      </c>
    </row>
    <row r="7" spans="2:6" x14ac:dyDescent="0.3">
      <c r="B7" s="1" t="s">
        <v>14</v>
      </c>
      <c r="C7" s="2">
        <v>162.12</v>
      </c>
      <c r="D7" s="2">
        <v>87.91</v>
      </c>
      <c r="E7" s="2">
        <v>150.56</v>
      </c>
      <c r="F7" s="7">
        <f t="shared" si="0"/>
        <v>131.52250000000001</v>
      </c>
    </row>
    <row r="8" spans="2:6" x14ac:dyDescent="0.3">
      <c r="B8" s="1" t="s">
        <v>15</v>
      </c>
      <c r="C8" s="2">
        <v>140.82</v>
      </c>
      <c r="D8" s="2">
        <v>89.32</v>
      </c>
      <c r="E8" s="2">
        <v>121.08</v>
      </c>
      <c r="F8" s="7">
        <f t="shared" si="0"/>
        <v>114.899</v>
      </c>
    </row>
    <row r="9" spans="2:6" x14ac:dyDescent="0.3">
      <c r="B9" s="1" t="s">
        <v>16</v>
      </c>
      <c r="C9" s="2">
        <v>135.55000000000001</v>
      </c>
      <c r="D9" s="2">
        <v>87.28</v>
      </c>
      <c r="E9" s="2">
        <v>100.27</v>
      </c>
      <c r="F9" s="7">
        <f t="shared" si="0"/>
        <v>104.54350000000001</v>
      </c>
    </row>
    <row r="10" spans="2:6" x14ac:dyDescent="0.3">
      <c r="B10" s="1" t="s">
        <v>17</v>
      </c>
      <c r="C10" s="2">
        <v>105.53</v>
      </c>
      <c r="D10" s="2">
        <v>94.16</v>
      </c>
      <c r="E10" s="2">
        <v>93.79</v>
      </c>
      <c r="F10" s="7">
        <f t="shared" si="0"/>
        <v>96.854500000000002</v>
      </c>
    </row>
    <row r="11" spans="2:6" x14ac:dyDescent="0.3">
      <c r="B11" s="1" t="s">
        <v>18</v>
      </c>
      <c r="C11" s="2">
        <v>105.35</v>
      </c>
      <c r="D11" s="2">
        <v>101.39</v>
      </c>
      <c r="E11" s="4">
        <f>E10*(1+(((C11-C10)/C10)+((D11-D10)/D10))/2)</f>
        <v>97.310807242306339</v>
      </c>
      <c r="F11" s="7">
        <f t="shared" si="0"/>
        <v>100.74832289692253</v>
      </c>
    </row>
    <row r="12" spans="2:6" x14ac:dyDescent="0.3">
      <c r="B12" s="1" t="s">
        <v>19</v>
      </c>
      <c r="C12" s="2">
        <v>110.61</v>
      </c>
      <c r="D12" s="2">
        <v>107.61</v>
      </c>
      <c r="E12" s="4">
        <f t="shared" ref="E12:E17" si="1">E11*(1+(((C12-C11)/C11)+((D12-D11)/D11))/2)</f>
        <v>102.72498990785142</v>
      </c>
      <c r="F12" s="7">
        <f t="shared" si="0"/>
        <v>106.40599596314058</v>
      </c>
    </row>
    <row r="13" spans="2:6" x14ac:dyDescent="0.3">
      <c r="B13" s="1" t="s">
        <v>20</v>
      </c>
      <c r="C13" s="2">
        <v>111.17</v>
      </c>
      <c r="D13" s="2">
        <v>124.47</v>
      </c>
      <c r="E13" s="4">
        <f t="shared" si="1"/>
        <v>111.03234557029741</v>
      </c>
      <c r="F13" s="7">
        <f t="shared" si="0"/>
        <v>115.76993822811896</v>
      </c>
    </row>
    <row r="14" spans="2:6" x14ac:dyDescent="0.3">
      <c r="B14" s="1" t="s">
        <v>21</v>
      </c>
      <c r="C14" s="2">
        <v>116.15</v>
      </c>
      <c r="D14" s="2">
        <v>115.78</v>
      </c>
      <c r="E14" s="4">
        <f t="shared" si="1"/>
        <v>109.64334414332586</v>
      </c>
      <c r="F14" s="7">
        <f t="shared" si="0"/>
        <v>113.41783765733035</v>
      </c>
    </row>
    <row r="15" spans="2:6" x14ac:dyDescent="0.3">
      <c r="B15" s="1" t="s">
        <v>22</v>
      </c>
      <c r="C15" s="2">
        <v>133.46</v>
      </c>
      <c r="D15" s="2">
        <v>114.41</v>
      </c>
      <c r="E15" s="4">
        <f t="shared" si="1"/>
        <v>117.16480291529089</v>
      </c>
      <c r="F15" s="7">
        <f t="shared" si="0"/>
        <v>120.27442116611635</v>
      </c>
    </row>
    <row r="16" spans="2:6" x14ac:dyDescent="0.3">
      <c r="B16" s="1" t="s">
        <v>23</v>
      </c>
      <c r="C16" s="2">
        <v>122.01</v>
      </c>
      <c r="D16" s="2">
        <v>130.66999999999999</v>
      </c>
      <c r="E16" s="4">
        <f t="shared" si="1"/>
        <v>120.46457078644981</v>
      </c>
      <c r="F16" s="7">
        <f t="shared" si="0"/>
        <v>124.42282831457992</v>
      </c>
    </row>
    <row r="17" spans="2:10" x14ac:dyDescent="0.3">
      <c r="B17" s="1" t="s">
        <v>24</v>
      </c>
      <c r="C17" s="2">
        <v>115.76</v>
      </c>
      <c r="D17" s="2">
        <v>135.34</v>
      </c>
      <c r="E17" s="4">
        <f t="shared" si="1"/>
        <v>119.53178800476132</v>
      </c>
      <c r="F17" s="7">
        <f>0.4*E17+0.35*D17+0.25*C17</f>
        <v>124.12171520190452</v>
      </c>
    </row>
    <row r="20" spans="2:10" x14ac:dyDescent="0.3">
      <c r="B20" s="51" t="s">
        <v>25</v>
      </c>
      <c r="C20" s="52"/>
      <c r="D20" s="52"/>
      <c r="E20" s="52"/>
      <c r="F20" s="52"/>
      <c r="G20" s="52"/>
      <c r="H20" s="52"/>
      <c r="I20" s="52"/>
      <c r="J20" s="53"/>
    </row>
    <row r="21" spans="2:10" x14ac:dyDescent="0.3">
      <c r="B21" s="59">
        <v>46.8</v>
      </c>
      <c r="C21" s="60"/>
      <c r="D21" s="60"/>
      <c r="E21" s="60"/>
      <c r="F21" s="60"/>
      <c r="G21" s="60"/>
      <c r="H21" s="60"/>
      <c r="I21" s="60"/>
      <c r="J21" s="61"/>
    </row>
    <row r="23" spans="2:10" x14ac:dyDescent="0.3">
      <c r="B23" s="51" t="s">
        <v>26</v>
      </c>
      <c r="C23" s="52"/>
      <c r="D23" s="52"/>
      <c r="E23" s="52"/>
      <c r="F23" s="52"/>
      <c r="G23" s="52"/>
      <c r="H23" s="52"/>
      <c r="I23" s="52"/>
      <c r="J23" s="53"/>
    </row>
    <row r="24" spans="2:10" x14ac:dyDescent="0.3">
      <c r="B24" s="59">
        <v>120</v>
      </c>
      <c r="C24" s="60"/>
      <c r="D24" s="60"/>
      <c r="E24" s="60"/>
      <c r="F24" s="60"/>
      <c r="G24" s="60"/>
      <c r="H24" s="60"/>
      <c r="I24" s="60"/>
      <c r="J24" s="61"/>
    </row>
    <row r="25" spans="2:10" ht="14.1" customHeight="1" x14ac:dyDescent="0.3"/>
    <row r="26" spans="2:10" ht="14.1" customHeight="1" x14ac:dyDescent="0.3">
      <c r="B26" s="51" t="s">
        <v>27</v>
      </c>
      <c r="C26" s="52"/>
      <c r="D26" s="52"/>
      <c r="E26" s="52"/>
      <c r="F26" s="52"/>
      <c r="G26" s="52"/>
      <c r="H26" s="52"/>
      <c r="I26" s="52"/>
      <c r="J26" s="53"/>
    </row>
    <row r="27" spans="2:10" ht="14.1" customHeight="1" x14ac:dyDescent="0.3">
      <c r="B27" s="59">
        <f>240</f>
        <v>240</v>
      </c>
      <c r="C27" s="60"/>
      <c r="D27" s="60"/>
      <c r="E27" s="60"/>
      <c r="F27" s="60"/>
      <c r="G27" s="60"/>
      <c r="H27" s="60"/>
      <c r="I27" s="60"/>
      <c r="J27" s="61"/>
    </row>
    <row r="28" spans="2:10" ht="14.1" customHeight="1" x14ac:dyDescent="0.3"/>
    <row r="29" spans="2:10" ht="14.1" customHeight="1" x14ac:dyDescent="0.3">
      <c r="B29" s="51" t="s">
        <v>28</v>
      </c>
      <c r="C29" s="52"/>
      <c r="D29" s="52"/>
      <c r="E29" s="52"/>
      <c r="F29" s="52"/>
      <c r="G29" s="52"/>
      <c r="H29" s="52"/>
      <c r="I29" s="52"/>
      <c r="J29" s="53"/>
    </row>
    <row r="30" spans="2:10" ht="14.1" customHeight="1" x14ac:dyDescent="0.3">
      <c r="B30" s="45" t="s">
        <v>0</v>
      </c>
      <c r="C30" s="46"/>
      <c r="D30" s="45" t="s">
        <v>7</v>
      </c>
      <c r="E30" s="46"/>
      <c r="F30" s="45" t="s">
        <v>8</v>
      </c>
      <c r="G30" s="46"/>
      <c r="H30" s="45" t="s">
        <v>9</v>
      </c>
      <c r="I30" s="47"/>
      <c r="J30" s="46"/>
    </row>
    <row r="31" spans="2:10" ht="14.1" customHeight="1" x14ac:dyDescent="0.3">
      <c r="B31" s="48">
        <f>SUMPRODUCT(F6:F17,'Output Produzione'!C3:C14)/SUM('Output Produzione'!C3:C14)*90%</f>
        <v>104.72089093073527</v>
      </c>
      <c r="C31" s="49"/>
      <c r="D31" s="48">
        <f>SUMPRODUCT(F6:F17,'Output Produzione'!C17:C28)/SUM('Output Produzione'!C17:C28)*90%</f>
        <v>105.44537471948138</v>
      </c>
      <c r="E31" s="49"/>
      <c r="F31" s="48">
        <f>SUMPRODUCT(F6:F17,'Output Produzione'!C31:C42)/SUM('Output Produzione'!C31:C42)*90%</f>
        <v>106.06664743806007</v>
      </c>
      <c r="G31" s="49"/>
      <c r="H31" s="48">
        <f>SUMPRODUCT(F6:F17,'Output Produzione'!C45:C56)/SUM('Output Produzione'!C45:C56)*90%</f>
        <v>106.29154133195121</v>
      </c>
      <c r="I31" s="50"/>
      <c r="J31" s="49"/>
    </row>
    <row r="32" spans="2:10" ht="14.1" customHeight="1" x14ac:dyDescent="0.3">
      <c r="B32" s="51" t="s">
        <v>29</v>
      </c>
      <c r="C32" s="52"/>
      <c r="D32" s="52"/>
      <c r="E32" s="52"/>
      <c r="F32" s="52"/>
      <c r="G32" s="52"/>
      <c r="H32" s="52"/>
      <c r="I32" s="52"/>
      <c r="J32" s="53"/>
    </row>
    <row r="33" spans="2:10" ht="14.1" customHeight="1" x14ac:dyDescent="0.3">
      <c r="B33" s="45" t="s">
        <v>0</v>
      </c>
      <c r="C33" s="46"/>
      <c r="D33" s="45" t="s">
        <v>7</v>
      </c>
      <c r="E33" s="46"/>
      <c r="F33" s="45" t="s">
        <v>8</v>
      </c>
      <c r="G33" s="46"/>
      <c r="H33" s="45" t="s">
        <v>9</v>
      </c>
      <c r="I33" s="47"/>
      <c r="J33" s="46"/>
    </row>
    <row r="34" spans="2:10" x14ac:dyDescent="0.3">
      <c r="B34" s="48">
        <f>SUMPRODUCT(F6:F17,'Output Produzione'!C3:C14)/SUM('Output Produzione'!C3:C14)</f>
        <v>116.35654547859474</v>
      </c>
      <c r="C34" s="49"/>
      <c r="D34" s="48">
        <f>SUMPRODUCT(F6:F17,'Output Produzione'!C17:C28)/SUM('Output Produzione'!C17:C28)</f>
        <v>117.16152746609042</v>
      </c>
      <c r="E34" s="49"/>
      <c r="F34" s="48">
        <f>SUMPRODUCT(F6:F17,'Output Produzione'!C31:C42)/SUM('Output Produzione'!C31:C42)</f>
        <v>117.85183048673341</v>
      </c>
      <c r="G34" s="49"/>
      <c r="H34" s="48">
        <f>SUMPRODUCT(F6:F17,'Output Produzione'!C45:C56)/SUM('Output Produzione'!C45:C56)</f>
        <v>118.1017125910569</v>
      </c>
      <c r="I34" s="50"/>
      <c r="J34" s="49"/>
    </row>
    <row r="35" spans="2:10" ht="14.1" customHeight="1" x14ac:dyDescent="0.3"/>
  </sheetData>
  <mergeCells count="26">
    <mergeCell ref="B30:C30"/>
    <mergeCell ref="D30:E30"/>
    <mergeCell ref="F30:G30"/>
    <mergeCell ref="H30:J30"/>
    <mergeCell ref="B20:J20"/>
    <mergeCell ref="C4:F4"/>
    <mergeCell ref="B23:J23"/>
    <mergeCell ref="B26:J26"/>
    <mergeCell ref="B21:J21"/>
    <mergeCell ref="B24:J24"/>
    <mergeCell ref="B27:J27"/>
    <mergeCell ref="B29:J29"/>
    <mergeCell ref="B2:F2"/>
    <mergeCell ref="B34:C34"/>
    <mergeCell ref="D34:E34"/>
    <mergeCell ref="F34:G34"/>
    <mergeCell ref="H34:J34"/>
    <mergeCell ref="B31:C31"/>
    <mergeCell ref="D31:E31"/>
    <mergeCell ref="F31:G31"/>
    <mergeCell ref="H31:J31"/>
    <mergeCell ref="B32:J32"/>
    <mergeCell ref="B33:C33"/>
    <mergeCell ref="D33:E33"/>
    <mergeCell ref="F33:G33"/>
    <mergeCell ref="H33:J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21F8-D75A-4D06-87F6-353B63A2B092}">
  <dimension ref="B1:S22"/>
  <sheetViews>
    <sheetView topLeftCell="B1" zoomScale="41" workbookViewId="0">
      <selection activeCell="K21" sqref="K21"/>
    </sheetView>
  </sheetViews>
  <sheetFormatPr defaultRowHeight="15" customHeight="1" x14ac:dyDescent="0.3"/>
  <cols>
    <col min="2" max="2" width="15.33203125" customWidth="1"/>
    <col min="3" max="3" width="19" bestFit="1" customWidth="1"/>
    <col min="4" max="4" width="19.44140625" bestFit="1" customWidth="1"/>
    <col min="5" max="5" width="16.33203125" customWidth="1"/>
    <col min="6" max="6" width="16.6640625" customWidth="1"/>
    <col min="9" max="9" width="13.109375" customWidth="1"/>
    <col min="12" max="12" width="13.6640625" bestFit="1" customWidth="1"/>
    <col min="13" max="13" width="9.5546875" bestFit="1" customWidth="1"/>
    <col min="14" max="14" width="16" bestFit="1" customWidth="1"/>
    <col min="15" max="16" width="12.33203125" bestFit="1" customWidth="1"/>
    <col min="17" max="17" width="10.6640625" bestFit="1" customWidth="1"/>
    <col min="18" max="18" width="11.88671875" customWidth="1"/>
    <col min="19" max="19" width="10.5546875" bestFit="1" customWidth="1"/>
  </cols>
  <sheetData>
    <row r="1" spans="2:19" ht="14.4" x14ac:dyDescent="0.3"/>
    <row r="2" spans="2:19" ht="14.1" customHeight="1" x14ac:dyDescent="0.3">
      <c r="B2" s="62" t="s">
        <v>30</v>
      </c>
      <c r="C2" s="63"/>
      <c r="D2" s="63"/>
      <c r="E2" s="63"/>
      <c r="F2" s="64"/>
      <c r="L2" s="65" t="s">
        <v>31</v>
      </c>
      <c r="M2" s="66"/>
      <c r="N2" s="66"/>
      <c r="O2" s="66"/>
      <c r="P2" s="66"/>
      <c r="Q2" s="66"/>
      <c r="R2" s="66"/>
      <c r="S2" s="66"/>
    </row>
    <row r="3" spans="2:19" ht="14.4" x14ac:dyDescent="0.3">
      <c r="B3" s="8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L3" s="68" t="s">
        <v>33</v>
      </c>
      <c r="M3" s="69"/>
      <c r="N3" s="8" t="s">
        <v>37</v>
      </c>
      <c r="O3" s="8" t="s">
        <v>38</v>
      </c>
      <c r="P3" s="8" t="s">
        <v>39</v>
      </c>
      <c r="Q3" s="8" t="s">
        <v>40</v>
      </c>
      <c r="R3" s="8" t="s">
        <v>41</v>
      </c>
      <c r="S3" s="8" t="s">
        <v>36</v>
      </c>
    </row>
    <row r="4" spans="2:19" ht="14.4" x14ac:dyDescent="0.3">
      <c r="B4" s="11">
        <v>6050000</v>
      </c>
      <c r="C4" s="11">
        <f>354*B4</f>
        <v>2141700000</v>
      </c>
      <c r="D4" s="10">
        <f>31.8</f>
        <v>31.8</v>
      </c>
      <c r="E4" s="11">
        <f>354*8760*0.98*D4</f>
        <v>96640810.559999987</v>
      </c>
      <c r="F4" s="3">
        <v>60</v>
      </c>
      <c r="L4" s="70">
        <f>C7/30</f>
        <v>8190000</v>
      </c>
      <c r="M4" s="71"/>
      <c r="N4" s="10">
        <v>55</v>
      </c>
      <c r="O4" s="10">
        <f>N4*'Output Produzione'!F3*0.088393</f>
        <v>2028488.6344316003</v>
      </c>
      <c r="P4" s="10">
        <f>N4*'Output Produzione'!F17*0.088393</f>
        <v>2036590.2241322002</v>
      </c>
      <c r="Q4" s="11">
        <f>N4*'Output Produzione'!F31*0.088393</f>
        <v>2064150.4278702999</v>
      </c>
      <c r="R4" s="11">
        <f>N4*'Output Produzione'!F45*0.088393</f>
        <v>2032803.8525217499</v>
      </c>
      <c r="S4" s="3">
        <v>20</v>
      </c>
    </row>
    <row r="5" spans="2:19" ht="14.4" x14ac:dyDescent="0.3">
      <c r="B5" s="67" t="s">
        <v>42</v>
      </c>
      <c r="C5" s="67"/>
      <c r="D5" s="67"/>
      <c r="E5" s="67"/>
      <c r="F5" s="67"/>
    </row>
    <row r="6" spans="2:19" ht="14.4" x14ac:dyDescent="0.3">
      <c r="B6" s="8" t="s">
        <v>32</v>
      </c>
      <c r="C6" s="8" t="s">
        <v>33</v>
      </c>
      <c r="D6" s="8" t="s">
        <v>43</v>
      </c>
      <c r="E6" s="8" t="s">
        <v>35</v>
      </c>
      <c r="F6" s="8" t="s">
        <v>36</v>
      </c>
    </row>
    <row r="7" spans="2:19" ht="14.4" x14ac:dyDescent="0.3">
      <c r="B7" s="11">
        <v>780000</v>
      </c>
      <c r="C7" s="11">
        <f>15*21*B7</f>
        <v>245700000</v>
      </c>
      <c r="D7" s="10">
        <v>2.5</v>
      </c>
      <c r="E7" s="11">
        <f>D7/100*C7</f>
        <v>6142500</v>
      </c>
      <c r="F7" s="11">
        <v>20</v>
      </c>
    </row>
    <row r="8" spans="2:19" ht="15" customHeight="1" x14ac:dyDescent="0.3">
      <c r="B8" s="62" t="s">
        <v>44</v>
      </c>
      <c r="C8" s="63"/>
      <c r="D8" s="63"/>
      <c r="E8" s="63"/>
      <c r="F8" s="64"/>
    </row>
    <row r="9" spans="2:19" ht="15" customHeight="1" x14ac:dyDescent="0.3">
      <c r="B9" s="8" t="s">
        <v>32</v>
      </c>
      <c r="C9" s="8" t="s">
        <v>33</v>
      </c>
      <c r="D9" s="8" t="s">
        <v>43</v>
      </c>
      <c r="E9" s="8" t="s">
        <v>35</v>
      </c>
      <c r="F9" s="8" t="s">
        <v>36</v>
      </c>
    </row>
    <row r="10" spans="2:19" ht="15" customHeight="1" x14ac:dyDescent="0.3">
      <c r="B10" s="11">
        <v>1000000</v>
      </c>
      <c r="C10" s="11">
        <f>1.5*B10</f>
        <v>1500000</v>
      </c>
      <c r="D10" s="10">
        <v>1</v>
      </c>
      <c r="E10" s="11">
        <f>D10/100*C10</f>
        <v>15000</v>
      </c>
      <c r="F10" s="3">
        <v>10</v>
      </c>
    </row>
    <row r="11" spans="2:19" ht="14.4" x14ac:dyDescent="0.3">
      <c r="B11" s="62" t="s">
        <v>45</v>
      </c>
      <c r="C11" s="63"/>
      <c r="D11" s="63"/>
      <c r="E11" s="63"/>
      <c r="F11" s="64"/>
    </row>
    <row r="12" spans="2:19" ht="15" customHeight="1" x14ac:dyDescent="0.3">
      <c r="B12" s="8" t="s">
        <v>46</v>
      </c>
      <c r="C12" s="8" t="s">
        <v>33</v>
      </c>
      <c r="D12" s="8" t="s">
        <v>43</v>
      </c>
      <c r="E12" s="8" t="s">
        <v>35</v>
      </c>
      <c r="F12" s="8" t="s">
        <v>36</v>
      </c>
    </row>
    <row r="13" spans="2:19" ht="15" customHeight="1" x14ac:dyDescent="0.3">
      <c r="B13" s="11">
        <v>490</v>
      </c>
      <c r="C13" s="11">
        <f>490*100000</f>
        <v>49000000</v>
      </c>
      <c r="D13" s="10">
        <v>1.5</v>
      </c>
      <c r="E13" s="11">
        <f>D13/100*C13</f>
        <v>735000</v>
      </c>
      <c r="F13" s="3">
        <v>20</v>
      </c>
    </row>
    <row r="14" spans="2:19" ht="14.4" x14ac:dyDescent="0.3"/>
    <row r="16" spans="2:19" ht="14.4" x14ac:dyDescent="0.3"/>
    <row r="20" spans="2:6" ht="15" customHeight="1" x14ac:dyDescent="0.3">
      <c r="B20" s="62" t="s">
        <v>47</v>
      </c>
      <c r="C20" s="63"/>
      <c r="D20" s="63"/>
      <c r="E20" s="63"/>
      <c r="F20" s="64"/>
    </row>
    <row r="21" spans="2:6" ht="15" customHeight="1" x14ac:dyDescent="0.3">
      <c r="B21" s="8" t="s">
        <v>32</v>
      </c>
      <c r="C21" s="8" t="s">
        <v>33</v>
      </c>
      <c r="D21" s="8" t="s">
        <v>48</v>
      </c>
      <c r="E21" s="8" t="s">
        <v>35</v>
      </c>
      <c r="F21" s="8" t="s">
        <v>36</v>
      </c>
    </row>
    <row r="22" spans="2:6" ht="15" customHeight="1" x14ac:dyDescent="0.3">
      <c r="B22" s="11"/>
      <c r="C22" s="11">
        <v>23200000</v>
      </c>
      <c r="D22" s="10">
        <f>13930/2</f>
        <v>6965</v>
      </c>
      <c r="E22" s="11">
        <f>D22*47</f>
        <v>327355</v>
      </c>
      <c r="F22" s="3">
        <v>20</v>
      </c>
    </row>
  </sheetData>
  <mergeCells count="8">
    <mergeCell ref="B20:F20"/>
    <mergeCell ref="L2:S2"/>
    <mergeCell ref="B11:F11"/>
    <mergeCell ref="B8:F8"/>
    <mergeCell ref="B2:F2"/>
    <mergeCell ref="B5:F5"/>
    <mergeCell ref="L3:M3"/>
    <mergeCell ref="L4:M4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A10F-E5B9-474D-9C69-E6ED49444D64}">
  <dimension ref="A1:BL40"/>
  <sheetViews>
    <sheetView zoomScale="45" workbookViewId="0">
      <selection activeCell="BK46" sqref="BK46"/>
    </sheetView>
  </sheetViews>
  <sheetFormatPr defaultRowHeight="14.4" x14ac:dyDescent="0.3"/>
  <cols>
    <col min="1" max="1" width="22.109375" bestFit="1" customWidth="1"/>
    <col min="2" max="2" width="24.21875" bestFit="1" customWidth="1"/>
    <col min="3" max="6" width="19" bestFit="1" customWidth="1"/>
    <col min="7" max="7" width="18.6640625" customWidth="1"/>
    <col min="8" max="13" width="19" bestFit="1" customWidth="1"/>
    <col min="14" max="14" width="27.44140625" bestFit="1" customWidth="1"/>
    <col min="15" max="19" width="19" bestFit="1" customWidth="1"/>
    <col min="20" max="20" width="19.109375" bestFit="1" customWidth="1"/>
    <col min="21" max="22" width="17.44140625" bestFit="1" customWidth="1"/>
    <col min="23" max="23" width="17.77734375" bestFit="1" customWidth="1"/>
    <col min="24" max="25" width="17.44140625" bestFit="1" customWidth="1"/>
    <col min="26" max="30" width="17" bestFit="1" customWidth="1"/>
    <col min="31" max="35" width="16.109375" bestFit="1" customWidth="1"/>
    <col min="36" max="36" width="16.44140625" bestFit="1" customWidth="1"/>
    <col min="37" max="50" width="16.109375" bestFit="1" customWidth="1"/>
    <col min="51" max="61" width="17.109375" bestFit="1" customWidth="1"/>
    <col min="62" max="62" width="18.5546875" customWidth="1"/>
    <col min="63" max="63" width="18.88671875" bestFit="1" customWidth="1"/>
  </cols>
  <sheetData>
    <row r="1" spans="1:64" x14ac:dyDescent="0.3">
      <c r="A1" s="12"/>
      <c r="B1" s="18" t="s">
        <v>49</v>
      </c>
      <c r="C1" s="18" t="s">
        <v>50</v>
      </c>
      <c r="D1" s="18" t="s">
        <v>51</v>
      </c>
      <c r="E1" s="18" t="s">
        <v>52</v>
      </c>
      <c r="G1" s="12"/>
      <c r="H1" s="18" t="s">
        <v>49</v>
      </c>
      <c r="I1" s="18" t="s">
        <v>50</v>
      </c>
      <c r="J1" s="18" t="s">
        <v>51</v>
      </c>
      <c r="K1" s="18" t="s">
        <v>52</v>
      </c>
      <c r="L1" s="12"/>
      <c r="N1" s="18" t="s">
        <v>53</v>
      </c>
      <c r="O1" s="12"/>
      <c r="S1" s="12"/>
      <c r="T1" s="18" t="s">
        <v>54</v>
      </c>
      <c r="V1" s="18" t="s">
        <v>87</v>
      </c>
    </row>
    <row r="2" spans="1:64" x14ac:dyDescent="0.3">
      <c r="A2" s="18" t="s">
        <v>55</v>
      </c>
      <c r="B2" s="21">
        <f>SUM('Output Produzione'!C3:C14)</f>
        <v>369257.25916911964</v>
      </c>
      <c r="C2" s="21">
        <f>SUM('Output Produzione'!C17:C28)</f>
        <v>334190.9246930661</v>
      </c>
      <c r="D2" s="21">
        <f>SUM('Output Produzione'!C31:C42)</f>
        <v>292224.77415524778</v>
      </c>
      <c r="E2" s="21">
        <f>SUM('Output Produzione'!C45:C56)</f>
        <v>272576.68695770763</v>
      </c>
      <c r="G2" s="18" t="s">
        <v>56</v>
      </c>
      <c r="H2" s="19">
        <f>'Prezzi Energia Vari'!B31</f>
        <v>104.72089093073527</v>
      </c>
      <c r="I2" s="19">
        <f>'Prezzi Energia Vari'!D31</f>
        <v>105.44537471948138</v>
      </c>
      <c r="J2" s="19">
        <f>'Prezzi Energia Vari'!F31</f>
        <v>106.06664743806007</v>
      </c>
      <c r="K2" s="19">
        <f>'Prezzi Energia Vari'!H31</f>
        <v>106.29154133195121</v>
      </c>
      <c r="L2" s="12"/>
      <c r="N2" s="19">
        <f>'OPEX and CAPEX'!C4+'OPEX and CAPEX'!C7+'OPEX and CAPEX'!C10+'OPEX and CAPEX'!C13+'OPEX and CAPEX'!L4+'OPEX and CAPEX'!C22</f>
        <v>2469290000</v>
      </c>
      <c r="O2" s="12"/>
      <c r="S2" s="12"/>
      <c r="T2" s="20">
        <v>0.27900000000000003</v>
      </c>
      <c r="V2" s="20">
        <v>0.05</v>
      </c>
    </row>
    <row r="3" spans="1:64" x14ac:dyDescent="0.3">
      <c r="A3" s="18" t="s">
        <v>57</v>
      </c>
      <c r="B3" s="21">
        <f>SUM('Output Produzione'!D3:D14)</f>
        <v>487559.4867840666</v>
      </c>
      <c r="C3" s="21">
        <f>SUM('Output Produzione'!D17:D28)</f>
        <v>477231.38025263202</v>
      </c>
      <c r="D3" s="21">
        <f>SUM('Output Produzione'!D31:D42)</f>
        <v>519155.54421133263</v>
      </c>
      <c r="E3" s="21">
        <f>SUM('Output Produzione'!D45:D56)</f>
        <v>579243.70907114586</v>
      </c>
      <c r="G3" s="18" t="s">
        <v>58</v>
      </c>
      <c r="H3" s="19">
        <f>'Prezzi Energia Vari'!B34</f>
        <v>116.35654547859474</v>
      </c>
      <c r="I3" s="19">
        <f>'Prezzi Energia Vari'!D34</f>
        <v>117.16152746609042</v>
      </c>
      <c r="J3" s="19">
        <f>'Prezzi Energia Vari'!F34</f>
        <v>117.85183048673341</v>
      </c>
      <c r="K3" s="19">
        <f>'Prezzi Energia Vari'!H34</f>
        <v>118.1017125910569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5" spans="1:64" x14ac:dyDescent="0.3">
      <c r="A5" s="27"/>
      <c r="B5" s="72" t="s">
        <v>49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 t="s">
        <v>50</v>
      </c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 t="s">
        <v>51</v>
      </c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 t="s">
        <v>52</v>
      </c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28" t="s">
        <v>59</v>
      </c>
    </row>
    <row r="6" spans="1:64" x14ac:dyDescent="0.3">
      <c r="A6" s="27"/>
      <c r="B6" s="27">
        <v>0</v>
      </c>
      <c r="C6" s="27">
        <v>1</v>
      </c>
      <c r="D6" s="27">
        <v>2</v>
      </c>
      <c r="E6" s="27">
        <v>3</v>
      </c>
      <c r="F6" s="27">
        <v>4</v>
      </c>
      <c r="G6" s="27">
        <v>5</v>
      </c>
      <c r="H6" s="27">
        <v>6</v>
      </c>
      <c r="I6" s="27">
        <v>7</v>
      </c>
      <c r="J6" s="27">
        <v>8</v>
      </c>
      <c r="K6" s="27">
        <v>9</v>
      </c>
      <c r="L6" s="27">
        <v>10</v>
      </c>
      <c r="M6" s="27">
        <v>11</v>
      </c>
      <c r="N6" s="27">
        <v>12</v>
      </c>
      <c r="O6" s="27">
        <v>13</v>
      </c>
      <c r="P6" s="27">
        <v>14</v>
      </c>
      <c r="Q6" s="27">
        <v>15</v>
      </c>
      <c r="R6" s="27">
        <v>16</v>
      </c>
      <c r="S6" s="27">
        <v>17</v>
      </c>
      <c r="T6" s="27">
        <v>18</v>
      </c>
      <c r="U6" s="27">
        <v>19</v>
      </c>
      <c r="V6" s="27">
        <v>20</v>
      </c>
      <c r="W6" s="27">
        <v>21</v>
      </c>
      <c r="X6" s="27">
        <v>22</v>
      </c>
      <c r="Y6" s="27">
        <v>23</v>
      </c>
      <c r="Z6" s="27">
        <v>24</v>
      </c>
      <c r="AA6" s="27">
        <v>25</v>
      </c>
      <c r="AB6" s="27">
        <v>26</v>
      </c>
      <c r="AC6" s="27">
        <v>27</v>
      </c>
      <c r="AD6" s="27">
        <v>28</v>
      </c>
      <c r="AE6" s="27">
        <v>29</v>
      </c>
      <c r="AF6" s="27">
        <v>30</v>
      </c>
      <c r="AG6" s="27">
        <v>31</v>
      </c>
      <c r="AH6" s="27">
        <v>32</v>
      </c>
      <c r="AI6" s="27">
        <v>33</v>
      </c>
      <c r="AJ6" s="27">
        <v>34</v>
      </c>
      <c r="AK6" s="27">
        <v>35</v>
      </c>
      <c r="AL6" s="27">
        <v>36</v>
      </c>
      <c r="AM6" s="27">
        <v>37</v>
      </c>
      <c r="AN6" s="27">
        <v>38</v>
      </c>
      <c r="AO6" s="27">
        <v>39</v>
      </c>
      <c r="AP6" s="27">
        <v>40</v>
      </c>
      <c r="AQ6" s="27">
        <v>41</v>
      </c>
      <c r="AR6" s="27">
        <v>42</v>
      </c>
      <c r="AS6" s="27">
        <v>43</v>
      </c>
      <c r="AT6" s="27">
        <v>44</v>
      </c>
      <c r="AU6" s="27">
        <v>45</v>
      </c>
      <c r="AV6" s="27">
        <v>46</v>
      </c>
      <c r="AW6" s="27">
        <v>47</v>
      </c>
      <c r="AX6" s="27">
        <v>48</v>
      </c>
      <c r="AY6" s="27">
        <v>49</v>
      </c>
      <c r="AZ6" s="27">
        <v>50</v>
      </c>
      <c r="BA6" s="27">
        <v>51</v>
      </c>
      <c r="BB6" s="27">
        <v>52</v>
      </c>
      <c r="BC6" s="27">
        <v>53</v>
      </c>
      <c r="BD6" s="27">
        <v>54</v>
      </c>
      <c r="BE6" s="27">
        <v>55</v>
      </c>
      <c r="BF6" s="27">
        <v>56</v>
      </c>
      <c r="BG6" s="27">
        <v>57</v>
      </c>
      <c r="BH6" s="27">
        <v>58</v>
      </c>
      <c r="BI6" s="27">
        <v>59</v>
      </c>
      <c r="BJ6" s="27">
        <v>60</v>
      </c>
    </row>
    <row r="7" spans="1:64" x14ac:dyDescent="0.3">
      <c r="A7" s="29" t="s">
        <v>60</v>
      </c>
      <c r="B7" s="29">
        <v>2025</v>
      </c>
      <c r="C7" s="29">
        <v>2026</v>
      </c>
      <c r="D7" s="29">
        <v>2027</v>
      </c>
      <c r="E7" s="29">
        <v>2028</v>
      </c>
      <c r="F7" s="29">
        <v>2029</v>
      </c>
      <c r="G7" s="29">
        <v>2030</v>
      </c>
      <c r="H7" s="29">
        <v>2031</v>
      </c>
      <c r="I7" s="29">
        <v>2032</v>
      </c>
      <c r="J7" s="29">
        <v>2033</v>
      </c>
      <c r="K7" s="29">
        <v>2034</v>
      </c>
      <c r="L7" s="29">
        <v>2035</v>
      </c>
      <c r="M7" s="29">
        <v>2036</v>
      </c>
      <c r="N7" s="29">
        <v>2037</v>
      </c>
      <c r="O7" s="29">
        <v>2038</v>
      </c>
      <c r="P7" s="29">
        <v>2039</v>
      </c>
      <c r="Q7" s="29">
        <v>2040</v>
      </c>
      <c r="R7" s="29">
        <v>2041</v>
      </c>
      <c r="S7" s="29">
        <v>2042</v>
      </c>
      <c r="T7" s="29">
        <v>2043</v>
      </c>
      <c r="U7" s="29">
        <v>2044</v>
      </c>
      <c r="V7" s="29">
        <v>2045</v>
      </c>
      <c r="W7" s="29">
        <v>2046</v>
      </c>
      <c r="X7" s="29">
        <v>2047</v>
      </c>
      <c r="Y7" s="29">
        <v>2048</v>
      </c>
      <c r="Z7" s="29">
        <v>2049</v>
      </c>
      <c r="AA7" s="29">
        <v>2050</v>
      </c>
      <c r="AB7" s="29">
        <v>2051</v>
      </c>
      <c r="AC7" s="29">
        <v>2052</v>
      </c>
      <c r="AD7" s="29">
        <v>2053</v>
      </c>
      <c r="AE7" s="29">
        <v>2054</v>
      </c>
      <c r="AF7" s="29">
        <v>2055</v>
      </c>
      <c r="AG7" s="29">
        <v>2056</v>
      </c>
      <c r="AH7" s="29">
        <v>2057</v>
      </c>
      <c r="AI7" s="29">
        <v>2058</v>
      </c>
      <c r="AJ7" s="29">
        <v>2059</v>
      </c>
      <c r="AK7" s="29">
        <v>2060</v>
      </c>
      <c r="AL7" s="29">
        <v>2061</v>
      </c>
      <c r="AM7" s="29">
        <v>2062</v>
      </c>
      <c r="AN7" s="29">
        <v>2063</v>
      </c>
      <c r="AO7" s="29">
        <v>2064</v>
      </c>
      <c r="AP7" s="29">
        <v>2065</v>
      </c>
      <c r="AQ7" s="29">
        <v>2066</v>
      </c>
      <c r="AR7" s="29">
        <v>2067</v>
      </c>
      <c r="AS7" s="29">
        <v>2068</v>
      </c>
      <c r="AT7" s="29">
        <v>2069</v>
      </c>
      <c r="AU7" s="29">
        <v>2070</v>
      </c>
      <c r="AV7" s="29">
        <v>2071</v>
      </c>
      <c r="AW7" s="29">
        <v>2072</v>
      </c>
      <c r="AX7" s="29">
        <v>2073</v>
      </c>
      <c r="AY7" s="29">
        <v>2074</v>
      </c>
      <c r="AZ7" s="29">
        <v>2075</v>
      </c>
      <c r="BA7" s="29">
        <v>2076</v>
      </c>
      <c r="BB7" s="29">
        <v>2077</v>
      </c>
      <c r="BC7" s="29">
        <v>2078</v>
      </c>
      <c r="BD7" s="29">
        <v>2079</v>
      </c>
      <c r="BE7" s="29">
        <v>2080</v>
      </c>
      <c r="BF7" s="29">
        <v>2081</v>
      </c>
      <c r="BG7" s="29">
        <v>2082</v>
      </c>
      <c r="BH7" s="29">
        <v>2083</v>
      </c>
      <c r="BI7" s="29">
        <v>2084</v>
      </c>
      <c r="BJ7" s="29">
        <v>2085</v>
      </c>
    </row>
    <row r="8" spans="1:64" x14ac:dyDescent="0.3">
      <c r="A8" s="30" t="s">
        <v>61</v>
      </c>
      <c r="B8" s="30"/>
      <c r="C8" s="31">
        <f>($B$2*'Prezzi Energia Vari'!$B$31+$B$3*'Prezzi Energia Vari'!$B$34)*1.0063742415</f>
        <v>96007787.402776957</v>
      </c>
      <c r="D8" s="31">
        <f>C8*1.0063742415</f>
        <v>96619764.22556293</v>
      </c>
      <c r="E8" s="31">
        <f t="shared" ref="E8:Q8" si="0">D8*1.006374</f>
        <v>97235618.602736682</v>
      </c>
      <c r="F8" s="31">
        <f t="shared" si="0"/>
        <v>97855398.435710534</v>
      </c>
      <c r="G8" s="31">
        <f t="shared" si="0"/>
        <v>98479128.745339766</v>
      </c>
      <c r="H8" s="31">
        <f t="shared" si="0"/>
        <v>99106834.711962566</v>
      </c>
      <c r="I8" s="31">
        <f t="shared" si="0"/>
        <v>99738541.676416621</v>
      </c>
      <c r="J8" s="31">
        <f t="shared" si="0"/>
        <v>100374275.14106211</v>
      </c>
      <c r="K8" s="31">
        <f t="shared" si="0"/>
        <v>101014060.77081124</v>
      </c>
      <c r="L8" s="31">
        <f t="shared" si="0"/>
        <v>101657924.39416441</v>
      </c>
      <c r="M8" s="31">
        <f t="shared" si="0"/>
        <v>102305892.00425282</v>
      </c>
      <c r="N8" s="31">
        <f t="shared" si="0"/>
        <v>102957989.75988793</v>
      </c>
      <c r="O8" s="31">
        <f t="shared" si="0"/>
        <v>103614243.98661748</v>
      </c>
      <c r="P8" s="31">
        <f t="shared" si="0"/>
        <v>104274681.17778818</v>
      </c>
      <c r="Q8" s="31">
        <f t="shared" si="0"/>
        <v>104939327.99561542</v>
      </c>
      <c r="R8" s="31">
        <f>(C2*'Prezzi Energia Vari'!D31+C3*'Prezzi Energia Vari'!D34)*1.1*1.006374</f>
        <v>100906352.66852622</v>
      </c>
      <c r="S8" s="31">
        <f>R8*1.006374</f>
        <v>101549529.76043542</v>
      </c>
      <c r="T8" s="31">
        <f t="shared" ref="T8:AF8" si="1">S8*1.006374</f>
        <v>102196806.46312845</v>
      </c>
      <c r="U8" s="31">
        <f t="shared" si="1"/>
        <v>102848208.90752444</v>
      </c>
      <c r="V8" s="31">
        <f t="shared" si="1"/>
        <v>103503763.391101</v>
      </c>
      <c r="W8" s="31">
        <f>V8*1.006374</f>
        <v>104163496.37895589</v>
      </c>
      <c r="X8" s="31">
        <f t="shared" si="1"/>
        <v>104827434.50487536</v>
      </c>
      <c r="Y8" s="31">
        <f t="shared" si="1"/>
        <v>105495604.57240945</v>
      </c>
      <c r="Z8" s="31">
        <f t="shared" si="1"/>
        <v>106168033.55595399</v>
      </c>
      <c r="AA8" s="31">
        <f t="shared" si="1"/>
        <v>106844748.60183966</v>
      </c>
      <c r="AB8" s="31">
        <f t="shared" si="1"/>
        <v>107525777.0294278</v>
      </c>
      <c r="AC8" s="31">
        <f t="shared" si="1"/>
        <v>108211146.33221339</v>
      </c>
      <c r="AD8" s="31">
        <f t="shared" si="1"/>
        <v>108900884.17893493</v>
      </c>
      <c r="AE8" s="31">
        <f t="shared" si="1"/>
        <v>109595018.41469148</v>
      </c>
      <c r="AF8" s="31">
        <f t="shared" si="1"/>
        <v>110293577.06206673</v>
      </c>
      <c r="AG8" s="31">
        <f>(D2*'Prezzi Energia Vari'!F31+D3*'Prezzi Energia Vari'!F34)*1.1^2*1.006374</f>
        <v>112247199.44323099</v>
      </c>
      <c r="AH8" s="31">
        <f t="shared" ref="AH8:AU8" si="2">AG8*1.006374</f>
        <v>112962663.09248215</v>
      </c>
      <c r="AI8" s="31">
        <f t="shared" si="2"/>
        <v>113682687.10703364</v>
      </c>
      <c r="AJ8" s="31">
        <f t="shared" si="2"/>
        <v>114407300.55465388</v>
      </c>
      <c r="AK8" s="31">
        <f t="shared" si="2"/>
        <v>115136532.68838926</v>
      </c>
      <c r="AL8" s="31">
        <f t="shared" si="2"/>
        <v>115870412.94774505</v>
      </c>
      <c r="AM8" s="31">
        <f t="shared" si="2"/>
        <v>116608970.95987399</v>
      </c>
      <c r="AN8" s="31">
        <f t="shared" si="2"/>
        <v>117352236.54077224</v>
      </c>
      <c r="AO8" s="31">
        <f t="shared" si="2"/>
        <v>118100239.69648314</v>
      </c>
      <c r="AP8" s="31">
        <f t="shared" si="2"/>
        <v>118853010.62430853</v>
      </c>
      <c r="AQ8" s="31">
        <f t="shared" si="2"/>
        <v>119610579.71402788</v>
      </c>
      <c r="AR8" s="31">
        <f t="shared" si="2"/>
        <v>120372977.54912511</v>
      </c>
      <c r="AS8" s="31">
        <f t="shared" si="2"/>
        <v>121140234.90802324</v>
      </c>
      <c r="AT8" s="31">
        <f t="shared" si="2"/>
        <v>121912382.76532699</v>
      </c>
      <c r="AU8" s="31">
        <f t="shared" si="2"/>
        <v>122689452.29307319</v>
      </c>
      <c r="AV8" s="31">
        <f>(E2*'Prezzi Energia Vari'!H31+E3*'Prezzi Energia Vari'!H34)*1.1^3*1.006374</f>
        <v>130441972.80510847</v>
      </c>
      <c r="AW8" s="31">
        <f t="shared" ref="AW8:BJ8" si="3">AV8*1.006374</f>
        <v>131273409.93976825</v>
      </c>
      <c r="AX8" s="31">
        <f t="shared" si="3"/>
        <v>132110146.65472434</v>
      </c>
      <c r="AY8" s="31">
        <f t="shared" si="3"/>
        <v>132952216.72950158</v>
      </c>
      <c r="AZ8" s="31">
        <f t="shared" si="3"/>
        <v>133799654.15893543</v>
      </c>
      <c r="BA8" s="31">
        <f t="shared" si="3"/>
        <v>134652493.1545445</v>
      </c>
      <c r="BB8" s="31">
        <f t="shared" si="3"/>
        <v>135510768.14591157</v>
      </c>
      <c r="BC8" s="31">
        <f t="shared" si="3"/>
        <v>136374513.78207362</v>
      </c>
      <c r="BD8" s="31">
        <f t="shared" si="3"/>
        <v>137243764.93292058</v>
      </c>
      <c r="BE8" s="31">
        <f t="shared" si="3"/>
        <v>138118556.69060302</v>
      </c>
      <c r="BF8" s="31">
        <f t="shared" si="3"/>
        <v>138998924.37094894</v>
      </c>
      <c r="BG8" s="31">
        <f t="shared" si="3"/>
        <v>139884903.51488939</v>
      </c>
      <c r="BH8" s="31">
        <f t="shared" si="3"/>
        <v>140776529.88989332</v>
      </c>
      <c r="BI8" s="31">
        <f t="shared" si="3"/>
        <v>141673839.49141151</v>
      </c>
      <c r="BJ8" s="31">
        <f t="shared" si="3"/>
        <v>142576868.54432979</v>
      </c>
      <c r="BL8" s="25"/>
    </row>
    <row r="9" spans="1:64" x14ac:dyDescent="0.3">
      <c r="A9" s="27" t="s">
        <v>62</v>
      </c>
      <c r="B9" s="32"/>
      <c r="C9" s="31">
        <f>'Output Produzione'!$F$3*'Prezzi Energia Vari'!$B$24*(1-0.0175)</f>
        <v>49193284.536000006</v>
      </c>
      <c r="D9" s="31">
        <f>C9*(1-0.0175)</f>
        <v>48332402.056620009</v>
      </c>
      <c r="E9" s="31">
        <f t="shared" ref="E9:Q9" si="4">D9*(1-0.0175)</f>
        <v>47486585.02062916</v>
      </c>
      <c r="F9" s="31">
        <f t="shared" si="4"/>
        <v>46655569.782768153</v>
      </c>
      <c r="G9" s="31">
        <f t="shared" si="4"/>
        <v>45839097.311569713</v>
      </c>
      <c r="H9" s="31">
        <f t="shared" si="4"/>
        <v>45036913.108617246</v>
      </c>
      <c r="I9" s="31">
        <f t="shared" si="4"/>
        <v>44248767.129216447</v>
      </c>
      <c r="J9" s="31">
        <f t="shared" si="4"/>
        <v>43474413.70445516</v>
      </c>
      <c r="K9" s="31">
        <f t="shared" si="4"/>
        <v>42713611.464627199</v>
      </c>
      <c r="L9" s="31">
        <f t="shared" si="4"/>
        <v>41966123.263996221</v>
      </c>
      <c r="M9" s="31">
        <f t="shared" si="4"/>
        <v>41231716.106876291</v>
      </c>
      <c r="N9" s="31">
        <f t="shared" si="4"/>
        <v>40510161.075005956</v>
      </c>
      <c r="O9" s="31">
        <f t="shared" si="4"/>
        <v>39801233.256193355</v>
      </c>
      <c r="P9" s="31">
        <f t="shared" si="4"/>
        <v>39104711.674209975</v>
      </c>
      <c r="Q9" s="31">
        <f t="shared" si="4"/>
        <v>38420379.2199113</v>
      </c>
      <c r="R9" s="31">
        <f>'Output Produzione'!$F$17*'Prezzi Energia Vari'!$B$24*(1-0.0175)^R$6</f>
        <v>37898784.577389196</v>
      </c>
      <c r="S9" s="31">
        <f>R9*(1-0.0175)</f>
        <v>37235555.847284883</v>
      </c>
      <c r="T9" s="31">
        <f t="shared" ref="T9:V9" si="5">S9*(1-0.0175)</f>
        <v>36583933.619957402</v>
      </c>
      <c r="U9" s="31">
        <f t="shared" si="5"/>
        <v>35943714.781608149</v>
      </c>
      <c r="V9" s="31">
        <f t="shared" si="5"/>
        <v>35314699.772930011</v>
      </c>
      <c r="W9" s="31">
        <f>V9*(1-0.00875)</f>
        <v>35005696.149916872</v>
      </c>
      <c r="X9" s="31">
        <f t="shared" ref="X9:AE9" si="6">W9*(1-0.00875)</f>
        <v>34699396.308605097</v>
      </c>
      <c r="Y9" s="31">
        <f t="shared" si="6"/>
        <v>34395776.590904802</v>
      </c>
      <c r="Z9" s="31">
        <f t="shared" si="6"/>
        <v>34094813.545734383</v>
      </c>
      <c r="AA9" s="31">
        <f t="shared" si="6"/>
        <v>33796483.927209206</v>
      </c>
      <c r="AB9" s="31">
        <f t="shared" si="6"/>
        <v>33500764.692846123</v>
      </c>
      <c r="AC9" s="31">
        <f t="shared" si="6"/>
        <v>33207633.001783717</v>
      </c>
      <c r="AD9" s="31">
        <f t="shared" si="6"/>
        <v>32917066.213018108</v>
      </c>
      <c r="AE9" s="31">
        <f t="shared" si="6"/>
        <v>32629041.8836542</v>
      </c>
      <c r="AF9" s="31">
        <f>AE9*(1-0.00875)</f>
        <v>32343537.767172225</v>
      </c>
      <c r="AG9" s="31">
        <f>'Output Produzione'!$F$31*'Prezzi Energia Vari'!$B$24*(1-0.0175)^(AG6-15)*(1-0.00875)^(AG6-15)</f>
        <v>33372917.637122609</v>
      </c>
      <c r="AH9" s="31">
        <f>AG9*(1-0.00875)</f>
        <v>33080904.607797783</v>
      </c>
      <c r="AI9" s="31">
        <f t="shared" ref="AI9:AP9" si="7">AH9*(1-0.00875)</f>
        <v>32791446.692479551</v>
      </c>
      <c r="AJ9" s="31">
        <f t="shared" si="7"/>
        <v>32504521.533920355</v>
      </c>
      <c r="AK9" s="31">
        <f t="shared" si="7"/>
        <v>32220106.970498551</v>
      </c>
      <c r="AL9" s="31">
        <f t="shared" si="7"/>
        <v>31938181.034506686</v>
      </c>
      <c r="AM9" s="31">
        <f t="shared" si="7"/>
        <v>31658721.950454753</v>
      </c>
      <c r="AN9" s="31">
        <f t="shared" si="7"/>
        <v>31381708.133388273</v>
      </c>
      <c r="AO9" s="31">
        <f t="shared" si="7"/>
        <v>31107118.187221125</v>
      </c>
      <c r="AP9" s="31">
        <f t="shared" si="7"/>
        <v>30834930.903082937</v>
      </c>
      <c r="AQ9" s="31">
        <f t="shared" ref="AQ9:AT9" si="8">AP9*1.006374</f>
        <v>31031472.75265919</v>
      </c>
      <c r="AR9" s="31">
        <f t="shared" si="8"/>
        <v>31229267.359984644</v>
      </c>
      <c r="AS9" s="31">
        <f t="shared" si="8"/>
        <v>31428322.710137188</v>
      </c>
      <c r="AT9" s="31">
        <f t="shared" si="8"/>
        <v>31628646.839091606</v>
      </c>
      <c r="AU9" s="31">
        <f>AT9*1.006374</f>
        <v>31830247.83404398</v>
      </c>
      <c r="AV9" s="31">
        <f>'Output Produzione'!$F$45*'Prezzi Energia Vari'!$B$24*(1-0.0175)^(AG6-15)*(1-0.00875)^(AG6-15+9)*1.006374^6</f>
        <v>31546672.658325933</v>
      </c>
      <c r="AW9" s="31">
        <f t="shared" ref="AW9:BJ9" si="9">AV9*1.006374</f>
        <v>31747751.149850104</v>
      </c>
      <c r="AX9" s="31">
        <f t="shared" si="9"/>
        <v>31950111.315679252</v>
      </c>
      <c r="AY9" s="31">
        <f t="shared" si="9"/>
        <v>32153761.325205393</v>
      </c>
      <c r="AZ9" s="31">
        <f t="shared" si="9"/>
        <v>32358709.399892256</v>
      </c>
      <c r="BA9" s="31">
        <f t="shared" si="9"/>
        <v>32564963.813607171</v>
      </c>
      <c r="BB9" s="31">
        <f t="shared" si="9"/>
        <v>32772532.892955106</v>
      </c>
      <c r="BC9" s="31">
        <f t="shared" si="9"/>
        <v>32981425.017614804</v>
      </c>
      <c r="BD9" s="31">
        <f t="shared" si="9"/>
        <v>33191648.620677084</v>
      </c>
      <c r="BE9" s="31">
        <f t="shared" si="9"/>
        <v>33403212.188985284</v>
      </c>
      <c r="BF9" s="31">
        <f t="shared" si="9"/>
        <v>33616124.263477877</v>
      </c>
      <c r="BG9" s="31">
        <f t="shared" si="9"/>
        <v>33830393.439533286</v>
      </c>
      <c r="BH9" s="31">
        <f t="shared" si="9"/>
        <v>34046028.367316872</v>
      </c>
      <c r="BI9" s="31">
        <f t="shared" si="9"/>
        <v>34263037.752130151</v>
      </c>
      <c r="BJ9" s="31">
        <f t="shared" si="9"/>
        <v>34481430.354762234</v>
      </c>
    </row>
    <row r="10" spans="1:64" x14ac:dyDescent="0.3">
      <c r="A10" s="27" t="s">
        <v>63</v>
      </c>
      <c r="B10" s="32"/>
      <c r="C10" s="31">
        <f>'Output Produzione'!$G$3*'Prezzi Energia Vari'!$B$27*(1-0.0175)</f>
        <v>41031126.486000009</v>
      </c>
      <c r="D10" s="31">
        <f>C10*(1-0.0175)</f>
        <v>40313081.772495009</v>
      </c>
      <c r="E10" s="31">
        <f t="shared" ref="E10:Q10" si="10">D10*(1-0.0175)</f>
        <v>39607602.841476351</v>
      </c>
      <c r="F10" s="31">
        <f t="shared" si="10"/>
        <v>38914469.791750513</v>
      </c>
      <c r="G10" s="31">
        <f t="shared" si="10"/>
        <v>38233466.570394881</v>
      </c>
      <c r="H10" s="31">
        <f t="shared" si="10"/>
        <v>37564380.905412972</v>
      </c>
      <c r="I10" s="31">
        <f t="shared" si="10"/>
        <v>36907004.239568248</v>
      </c>
      <c r="J10" s="31">
        <f t="shared" si="10"/>
        <v>36261131.665375806</v>
      </c>
      <c r="K10" s="31">
        <f t="shared" si="10"/>
        <v>35626561.861231729</v>
      </c>
      <c r="L10" s="31">
        <f t="shared" si="10"/>
        <v>35003097.028660178</v>
      </c>
      <c r="M10" s="31">
        <f t="shared" si="10"/>
        <v>34390542.83065863</v>
      </c>
      <c r="N10" s="31">
        <f t="shared" si="10"/>
        <v>33788708.331122108</v>
      </c>
      <c r="O10" s="31">
        <f t="shared" si="10"/>
        <v>33197405.935327474</v>
      </c>
      <c r="P10" s="31">
        <f t="shared" si="10"/>
        <v>32616451.331459243</v>
      </c>
      <c r="Q10" s="31">
        <f t="shared" si="10"/>
        <v>32045663.433158707</v>
      </c>
      <c r="R10" s="31">
        <f>'Output Produzione'!$G$17*'Prezzi Energia Vari'!$B$27*(1-0.0175)^R$6</f>
        <v>31492273.178041812</v>
      </c>
      <c r="S10" s="31">
        <f>R10*(1-0.0175)</f>
        <v>30941158.39742608</v>
      </c>
      <c r="T10" s="31">
        <f t="shared" ref="T10:V10" si="11">S10*(1-0.0175)</f>
        <v>30399688.125471126</v>
      </c>
      <c r="U10" s="31">
        <f t="shared" si="11"/>
        <v>29867693.583275381</v>
      </c>
      <c r="V10" s="31">
        <f t="shared" si="11"/>
        <v>29345008.945568062</v>
      </c>
      <c r="W10" s="31">
        <f>V10*(1-0.00875)</f>
        <v>29088240.117294341</v>
      </c>
      <c r="X10" s="31">
        <f t="shared" ref="X10:AF10" si="12">W10*(1-0.00875)</f>
        <v>28833718.016268015</v>
      </c>
      <c r="Y10" s="31">
        <f t="shared" si="12"/>
        <v>28581422.983625669</v>
      </c>
      <c r="Z10" s="31">
        <f t="shared" si="12"/>
        <v>28331335.532518942</v>
      </c>
      <c r="AA10" s="31">
        <f t="shared" si="12"/>
        <v>28083436.346609399</v>
      </c>
      <c r="AB10" s="31">
        <f t="shared" si="12"/>
        <v>27837706.278576564</v>
      </c>
      <c r="AC10" s="31">
        <f t="shared" si="12"/>
        <v>27594126.348639019</v>
      </c>
      <c r="AD10" s="31">
        <f t="shared" si="12"/>
        <v>27352677.743088428</v>
      </c>
      <c r="AE10" s="31">
        <f t="shared" si="12"/>
        <v>27113341.812836405</v>
      </c>
      <c r="AF10" s="31">
        <f t="shared" si="12"/>
        <v>26876100.071974084</v>
      </c>
      <c r="AG10" s="31">
        <f>'Output Produzione'!$G$31*'Prezzi Energia Vari'!$B$27*(1-0.0175)^(AG6-15)*(1-0.00875)^(AG6-15)</f>
        <v>27391234.314606346</v>
      </c>
      <c r="AH10" s="31">
        <f>AG10*(1-0.00875)</f>
        <v>27151561.01435354</v>
      </c>
      <c r="AI10" s="31">
        <f t="shared" ref="AI10:AP10" si="13">AH10*(1-0.00875)</f>
        <v>26913984.855477944</v>
      </c>
      <c r="AJ10" s="31">
        <f t="shared" si="13"/>
        <v>26678487.48799251</v>
      </c>
      <c r="AK10" s="31">
        <f t="shared" si="13"/>
        <v>26445050.722472575</v>
      </c>
      <c r="AL10" s="31">
        <f t="shared" si="13"/>
        <v>26213656.528650939</v>
      </c>
      <c r="AM10" s="31">
        <f t="shared" si="13"/>
        <v>25984287.034025244</v>
      </c>
      <c r="AN10" s="31">
        <f t="shared" si="13"/>
        <v>25756924.522477522</v>
      </c>
      <c r="AO10" s="31">
        <f t="shared" si="13"/>
        <v>25531551.432905842</v>
      </c>
      <c r="AP10" s="31">
        <f t="shared" si="13"/>
        <v>25308150.357867915</v>
      </c>
      <c r="AQ10" s="31">
        <f t="shared" ref="AQ10:AU10" si="14">AP10*1.006374</f>
        <v>25469464.508248966</v>
      </c>
      <c r="AR10" s="31">
        <f t="shared" si="14"/>
        <v>25631806.875024546</v>
      </c>
      <c r="AS10" s="31">
        <f t="shared" si="14"/>
        <v>25795184.012045953</v>
      </c>
      <c r="AT10" s="31">
        <f t="shared" si="14"/>
        <v>25959602.514938738</v>
      </c>
      <c r="AU10" s="31">
        <f t="shared" si="14"/>
        <v>26125069.021368962</v>
      </c>
      <c r="AV10" s="31">
        <f>'Output Produzione'!$G$45*'Prezzi Energia Vari'!$B$27*(1-0.0175)^(AG6-15)*(1-0.00875)^(AG6-15+9)*1.006374^6</f>
        <v>26256026.276979476</v>
      </c>
      <c r="AW10" s="31">
        <f t="shared" ref="AW10:BJ10" si="15">AV10*1.006374</f>
        <v>26423382.188468944</v>
      </c>
      <c r="AX10" s="31">
        <f t="shared" si="15"/>
        <v>26591804.82653825</v>
      </c>
      <c r="AY10" s="31">
        <f t="shared" si="15"/>
        <v>26761300.990502607</v>
      </c>
      <c r="AZ10" s="31">
        <f t="shared" si="15"/>
        <v>26931877.523016073</v>
      </c>
      <c r="BA10" s="31">
        <f t="shared" si="15"/>
        <v>27103541.310347781</v>
      </c>
      <c r="BB10" s="31">
        <f t="shared" si="15"/>
        <v>27276299.28265994</v>
      </c>
      <c r="BC10" s="31">
        <f t="shared" si="15"/>
        <v>27450158.414287619</v>
      </c>
      <c r="BD10" s="31">
        <f t="shared" si="15"/>
        <v>27625125.724020291</v>
      </c>
      <c r="BE10" s="31">
        <f t="shared" si="15"/>
        <v>27801208.275385201</v>
      </c>
      <c r="BF10" s="31">
        <f t="shared" si="15"/>
        <v>27978413.17693251</v>
      </c>
      <c r="BG10" s="31">
        <f t="shared" si="15"/>
        <v>28156747.582522281</v>
      </c>
      <c r="BH10" s="31">
        <f t="shared" si="15"/>
        <v>28336218.691613279</v>
      </c>
      <c r="BI10" s="31">
        <f t="shared" si="15"/>
        <v>28516833.749553625</v>
      </c>
      <c r="BJ10" s="31">
        <f t="shared" si="15"/>
        <v>28698600.047873281</v>
      </c>
    </row>
    <row r="11" spans="1:64" s="24" customFormat="1" x14ac:dyDescent="0.3">
      <c r="A11" s="33" t="s">
        <v>64</v>
      </c>
      <c r="B11" s="34"/>
      <c r="C11" s="34">
        <f t="shared" ref="C11:AH11" si="16">C8+C9+C10</f>
        <v>186232198.42477697</v>
      </c>
      <c r="D11" s="34">
        <f t="shared" si="16"/>
        <v>185265248.05467793</v>
      </c>
      <c r="E11" s="34">
        <f t="shared" si="16"/>
        <v>184329806.4648422</v>
      </c>
      <c r="F11" s="34">
        <f t="shared" si="16"/>
        <v>183425438.0102292</v>
      </c>
      <c r="G11" s="34">
        <f t="shared" si="16"/>
        <v>182551692.62730435</v>
      </c>
      <c r="H11" s="34">
        <f t="shared" si="16"/>
        <v>181708128.7259928</v>
      </c>
      <c r="I11" s="34">
        <f t="shared" si="16"/>
        <v>180894313.0452013</v>
      </c>
      <c r="J11" s="34">
        <f t="shared" si="16"/>
        <v>180109820.51089308</v>
      </c>
      <c r="K11" s="34">
        <f t="shared" si="16"/>
        <v>179354234.09667015</v>
      </c>
      <c r="L11" s="34">
        <f t="shared" si="16"/>
        <v>178627144.68682081</v>
      </c>
      <c r="M11" s="34">
        <f t="shared" si="16"/>
        <v>177928150.94178772</v>
      </c>
      <c r="N11" s="34">
        <f t="shared" si="16"/>
        <v>177256859.16601598</v>
      </c>
      <c r="O11" s="34">
        <f t="shared" si="16"/>
        <v>176612883.17813832</v>
      </c>
      <c r="P11" s="34">
        <f t="shared" si="16"/>
        <v>175995844.1834574</v>
      </c>
      <c r="Q11" s="34">
        <f t="shared" si="16"/>
        <v>175405370.64868543</v>
      </c>
      <c r="R11" s="34">
        <f t="shared" si="16"/>
        <v>170297410.42395723</v>
      </c>
      <c r="S11" s="34">
        <f t="shared" si="16"/>
        <v>169726244.00514638</v>
      </c>
      <c r="T11" s="34">
        <f t="shared" si="16"/>
        <v>169180428.20855695</v>
      </c>
      <c r="U11" s="34">
        <f t="shared" si="16"/>
        <v>168659617.27240795</v>
      </c>
      <c r="V11" s="34">
        <f t="shared" si="16"/>
        <v>168163472.10959908</v>
      </c>
      <c r="W11" s="34">
        <f t="shared" si="16"/>
        <v>168257432.6461671</v>
      </c>
      <c r="X11" s="34">
        <f t="shared" si="16"/>
        <v>168360548.82974848</v>
      </c>
      <c r="Y11" s="34">
        <f t="shared" si="16"/>
        <v>168472804.14693993</v>
      </c>
      <c r="Z11" s="34">
        <f t="shared" si="16"/>
        <v>168594182.63420734</v>
      </c>
      <c r="AA11" s="34">
        <f t="shared" si="16"/>
        <v>168724668.87565827</v>
      </c>
      <c r="AB11" s="34">
        <f t="shared" si="16"/>
        <v>168864248.00085047</v>
      </c>
      <c r="AC11" s="34">
        <f t="shared" si="16"/>
        <v>169012905.68263611</v>
      </c>
      <c r="AD11" s="34">
        <f t="shared" si="16"/>
        <v>169170628.13504148</v>
      </c>
      <c r="AE11" s="34">
        <f t="shared" si="16"/>
        <v>169337402.11118209</v>
      </c>
      <c r="AF11" s="34">
        <f t="shared" si="16"/>
        <v>169513214.90121305</v>
      </c>
      <c r="AG11" s="34">
        <f t="shared" si="16"/>
        <v>173011351.39495993</v>
      </c>
      <c r="AH11" s="34">
        <f t="shared" si="16"/>
        <v>173195128.71463346</v>
      </c>
      <c r="AI11" s="34">
        <f t="shared" ref="AI11:BJ11" si="17">AI8+AI9+AI10</f>
        <v>173388118.65499115</v>
      </c>
      <c r="AJ11" s="34">
        <f t="shared" si="17"/>
        <v>173590309.57656676</v>
      </c>
      <c r="AK11" s="34">
        <f t="shared" si="17"/>
        <v>173801690.38136038</v>
      </c>
      <c r="AL11" s="34">
        <f t="shared" si="17"/>
        <v>174022250.51090267</v>
      </c>
      <c r="AM11" s="34">
        <f t="shared" si="17"/>
        <v>174251979.944354</v>
      </c>
      <c r="AN11" s="34">
        <f t="shared" si="17"/>
        <v>174490869.19663805</v>
      </c>
      <c r="AO11" s="34">
        <f t="shared" si="17"/>
        <v>174738909.3166101</v>
      </c>
      <c r="AP11" s="34">
        <f t="shared" si="17"/>
        <v>174996091.88525939</v>
      </c>
      <c r="AQ11" s="34">
        <f t="shared" si="17"/>
        <v>176111516.97493604</v>
      </c>
      <c r="AR11" s="34">
        <f t="shared" si="17"/>
        <v>177234051.7841343</v>
      </c>
      <c r="AS11" s="34">
        <f t="shared" si="17"/>
        <v>178363741.63020638</v>
      </c>
      <c r="AT11" s="34">
        <f t="shared" si="17"/>
        <v>179500632.11935735</v>
      </c>
      <c r="AU11" s="34">
        <f t="shared" si="17"/>
        <v>180644769.14848611</v>
      </c>
      <c r="AV11" s="34">
        <f t="shared" si="17"/>
        <v>188244671.74041387</v>
      </c>
      <c r="AW11" s="34">
        <f t="shared" si="17"/>
        <v>189444543.27808729</v>
      </c>
      <c r="AX11" s="34">
        <f t="shared" si="17"/>
        <v>190652062.79694188</v>
      </c>
      <c r="AY11" s="34">
        <f t="shared" si="17"/>
        <v>191867279.04520956</v>
      </c>
      <c r="AZ11" s="34">
        <f t="shared" si="17"/>
        <v>193090241.08184376</v>
      </c>
      <c r="BA11" s="34">
        <f t="shared" si="17"/>
        <v>194320998.27849948</v>
      </c>
      <c r="BB11" s="34">
        <f t="shared" si="17"/>
        <v>195559600.32152662</v>
      </c>
      <c r="BC11" s="34">
        <f t="shared" si="17"/>
        <v>196806097.21397606</v>
      </c>
      <c r="BD11" s="34">
        <f t="shared" si="17"/>
        <v>198060539.27761796</v>
      </c>
      <c r="BE11" s="34">
        <f t="shared" si="17"/>
        <v>199322977.15497351</v>
      </c>
      <c r="BF11" s="34">
        <f t="shared" si="17"/>
        <v>200593461.81135935</v>
      </c>
      <c r="BG11" s="34">
        <f t="shared" si="17"/>
        <v>201872044.53694496</v>
      </c>
      <c r="BH11" s="34">
        <f t="shared" si="17"/>
        <v>203158776.94882348</v>
      </c>
      <c r="BI11" s="34">
        <f t="shared" si="17"/>
        <v>204453710.99309528</v>
      </c>
      <c r="BJ11" s="34">
        <f t="shared" si="17"/>
        <v>205756898.94696531</v>
      </c>
    </row>
    <row r="12" spans="1:64" s="24" customFormat="1" x14ac:dyDescent="0.3">
      <c r="A12" s="27" t="s">
        <v>65</v>
      </c>
      <c r="B12" s="31"/>
      <c r="C12" s="31">
        <f>-('OPEX and CAPEX'!$E$4)*0.97650215</f>
        <v>-94369959.289582685</v>
      </c>
      <c r="D12" s="31">
        <f>C12*0.97650215</f>
        <v>-92152468.141689956</v>
      </c>
      <c r="E12" s="31">
        <f t="shared" ref="E12:Q12" si="18">D12*0.97650215</f>
        <v>-89987083.268166736</v>
      </c>
      <c r="F12" s="31">
        <f t="shared" si="18"/>
        <v>-87872580.283593833</v>
      </c>
      <c r="G12" s="31">
        <f t="shared" si="18"/>
        <v>-85807763.572976992</v>
      </c>
      <c r="H12" s="31">
        <f t="shared" si="18"/>
        <v>-83791465.615703717</v>
      </c>
      <c r="I12" s="31">
        <f t="shared" si="18"/>
        <v>-81822546.325385749</v>
      </c>
      <c r="J12" s="31">
        <f t="shared" si="18"/>
        <v>-79899892.405213773</v>
      </c>
      <c r="K12" s="31">
        <f t="shared" si="18"/>
        <v>-78022416.718459919</v>
      </c>
      <c r="L12" s="31">
        <f t="shared" si="18"/>
        <v>-76189057.673772052</v>
      </c>
      <c r="M12" s="31">
        <f t="shared" si="18"/>
        <v>-74398778.624912411</v>
      </c>
      <c r="N12" s="31">
        <f t="shared" si="18"/>
        <v>-72650567.284601003</v>
      </c>
      <c r="O12" s="31">
        <f t="shared" si="18"/>
        <v>-70943435.152132541</v>
      </c>
      <c r="P12" s="31">
        <f t="shared" si="18"/>
        <v>-69276416.954443008</v>
      </c>
      <c r="Q12" s="31">
        <f t="shared" si="18"/>
        <v>-67648570.100310043</v>
      </c>
      <c r="R12" s="31">
        <f>-('OPEX and CAPEX'!$E$4)*0.7*0.993</f>
        <v>-67175027.420255989</v>
      </c>
      <c r="S12" s="31">
        <f>R12*0.993</f>
        <v>-66704802.228314199</v>
      </c>
      <c r="T12" s="31">
        <f t="shared" ref="T12:AF12" si="19">S12*0.993</f>
        <v>-66237868.612715997</v>
      </c>
      <c r="U12" s="31">
        <f t="shared" si="19"/>
        <v>-65774203.532426983</v>
      </c>
      <c r="V12" s="31">
        <f t="shared" si="19"/>
        <v>-65313784.10769999</v>
      </c>
      <c r="W12" s="31">
        <f t="shared" si="19"/>
        <v>-64856587.61894609</v>
      </c>
      <c r="X12" s="31">
        <f t="shared" si="19"/>
        <v>-64402591.505613469</v>
      </c>
      <c r="Y12" s="31">
        <f t="shared" si="19"/>
        <v>-63951773.365074173</v>
      </c>
      <c r="Z12" s="31">
        <f t="shared" si="19"/>
        <v>-63504110.951518655</v>
      </c>
      <c r="AA12" s="31">
        <f t="shared" si="19"/>
        <v>-63059582.174858026</v>
      </c>
      <c r="AB12" s="31">
        <f t="shared" si="19"/>
        <v>-62618165.099634022</v>
      </c>
      <c r="AC12" s="31">
        <f t="shared" si="19"/>
        <v>-62179837.943936586</v>
      </c>
      <c r="AD12" s="31">
        <f t="shared" si="19"/>
        <v>-61744579.078329027</v>
      </c>
      <c r="AE12" s="31">
        <f t="shared" si="19"/>
        <v>-61312367.02478072</v>
      </c>
      <c r="AF12" s="31">
        <f t="shared" si="19"/>
        <v>-60883180.455607258</v>
      </c>
      <c r="AG12" s="31">
        <f>AF12</f>
        <v>-60883180.455607258</v>
      </c>
      <c r="AH12" s="31">
        <f t="shared" ref="AH12:BJ12" si="20">AG12</f>
        <v>-60883180.455607258</v>
      </c>
      <c r="AI12" s="31">
        <f t="shared" si="20"/>
        <v>-60883180.455607258</v>
      </c>
      <c r="AJ12" s="31">
        <f t="shared" si="20"/>
        <v>-60883180.455607258</v>
      </c>
      <c r="AK12" s="31">
        <f t="shared" si="20"/>
        <v>-60883180.455607258</v>
      </c>
      <c r="AL12" s="31">
        <f t="shared" si="20"/>
        <v>-60883180.455607258</v>
      </c>
      <c r="AM12" s="31">
        <f t="shared" si="20"/>
        <v>-60883180.455607258</v>
      </c>
      <c r="AN12" s="31">
        <f t="shared" si="20"/>
        <v>-60883180.455607258</v>
      </c>
      <c r="AO12" s="31">
        <f t="shared" si="20"/>
        <v>-60883180.455607258</v>
      </c>
      <c r="AP12" s="31">
        <f t="shared" si="20"/>
        <v>-60883180.455607258</v>
      </c>
      <c r="AQ12" s="31">
        <f t="shared" si="20"/>
        <v>-60883180.455607258</v>
      </c>
      <c r="AR12" s="31">
        <f t="shared" si="20"/>
        <v>-60883180.455607258</v>
      </c>
      <c r="AS12" s="31">
        <f t="shared" si="20"/>
        <v>-60883180.455607258</v>
      </c>
      <c r="AT12" s="31">
        <f t="shared" si="20"/>
        <v>-60883180.455607258</v>
      </c>
      <c r="AU12" s="31">
        <f t="shared" si="20"/>
        <v>-60883180.455607258</v>
      </c>
      <c r="AV12" s="31">
        <f t="shared" si="20"/>
        <v>-60883180.455607258</v>
      </c>
      <c r="AW12" s="31">
        <f t="shared" si="20"/>
        <v>-60883180.455607258</v>
      </c>
      <c r="AX12" s="31">
        <f t="shared" si="20"/>
        <v>-60883180.455607258</v>
      </c>
      <c r="AY12" s="31">
        <f t="shared" si="20"/>
        <v>-60883180.455607258</v>
      </c>
      <c r="AZ12" s="31">
        <f t="shared" si="20"/>
        <v>-60883180.455607258</v>
      </c>
      <c r="BA12" s="31">
        <f t="shared" si="20"/>
        <v>-60883180.455607258</v>
      </c>
      <c r="BB12" s="31">
        <f t="shared" si="20"/>
        <v>-60883180.455607258</v>
      </c>
      <c r="BC12" s="31">
        <f t="shared" si="20"/>
        <v>-60883180.455607258</v>
      </c>
      <c r="BD12" s="31">
        <f t="shared" si="20"/>
        <v>-60883180.455607258</v>
      </c>
      <c r="BE12" s="31">
        <f t="shared" si="20"/>
        <v>-60883180.455607258</v>
      </c>
      <c r="BF12" s="31">
        <f t="shared" si="20"/>
        <v>-60883180.455607258</v>
      </c>
      <c r="BG12" s="31">
        <f t="shared" si="20"/>
        <v>-60883180.455607258</v>
      </c>
      <c r="BH12" s="31">
        <f t="shared" si="20"/>
        <v>-60883180.455607258</v>
      </c>
      <c r="BI12" s="31">
        <f t="shared" si="20"/>
        <v>-60883180.455607258</v>
      </c>
      <c r="BJ12" s="31">
        <f t="shared" si="20"/>
        <v>-60883180.455607258</v>
      </c>
    </row>
    <row r="13" spans="1:64" s="24" customFormat="1" x14ac:dyDescent="0.3">
      <c r="A13" s="27" t="s">
        <v>66</v>
      </c>
      <c r="B13" s="31"/>
      <c r="C13" s="31">
        <f>-('OPEX and CAPEX'!$E$7+'OPEX and CAPEX'!$E$10+'OPEX and CAPEX'!$E$13)*0.97650215</f>
        <v>-6730541.0688749999</v>
      </c>
      <c r="D13" s="31">
        <f>C13*0.97650215</f>
        <v>-6572387.824419735</v>
      </c>
      <c r="E13" s="31">
        <f t="shared" ref="E13:Q13" si="21">D13*0.97650215</f>
        <v>-6417950.8411796931</v>
      </c>
      <c r="F13" s="31">
        <f t="shared" si="21"/>
        <v>-6267142.7950062789</v>
      </c>
      <c r="G13" s="31">
        <f t="shared" si="21"/>
        <v>-6119878.41368064</v>
      </c>
      <c r="H13" s="31">
        <f t="shared" si="21"/>
        <v>-5976074.4286977341</v>
      </c>
      <c r="I13" s="31">
        <f t="shared" si="21"/>
        <v>-5835649.5281833587</v>
      </c>
      <c r="J13" s="31">
        <f t="shared" si="21"/>
        <v>-5698524.3109175349</v>
      </c>
      <c r="K13" s="31">
        <f t="shared" si="21"/>
        <v>-5564621.2414382407</v>
      </c>
      <c r="L13" s="31">
        <f t="shared" si="21"/>
        <v>-5433864.6062001111</v>
      </c>
      <c r="M13" s="31">
        <f t="shared" si="21"/>
        <v>-5306180.4707633117</v>
      </c>
      <c r="N13" s="31">
        <f t="shared" si="21"/>
        <v>-5181496.6379883857</v>
      </c>
      <c r="O13" s="31">
        <f t="shared" si="21"/>
        <v>-5059742.6072134301</v>
      </c>
      <c r="P13" s="31">
        <f t="shared" si="21"/>
        <v>-4940849.5343905194</v>
      </c>
      <c r="Q13" s="31">
        <f t="shared" si="21"/>
        <v>-4824750.1931588408</v>
      </c>
      <c r="R13" s="31">
        <f>-('OPEX and CAPEX'!$E$7+'OPEX and CAPEX'!$E$10+'OPEX and CAPEX'!$E$13)*0.7*0.993</f>
        <v>-4790976.75</v>
      </c>
      <c r="S13" s="31">
        <f>R13*0.993</f>
        <v>-4757439.9127500001</v>
      </c>
      <c r="T13" s="31">
        <f t="shared" ref="T13:AF13" si="22">S13*0.993</f>
        <v>-4724137.8333607502</v>
      </c>
      <c r="U13" s="31">
        <f t="shared" si="22"/>
        <v>-4691068.8685272252</v>
      </c>
      <c r="V13" s="31">
        <f t="shared" si="22"/>
        <v>-4658231.3864475349</v>
      </c>
      <c r="W13" s="31">
        <f t="shared" si="22"/>
        <v>-4625623.7667424018</v>
      </c>
      <c r="X13" s="31">
        <f t="shared" si="22"/>
        <v>-4593244.4003752051</v>
      </c>
      <c r="Y13" s="31">
        <f t="shared" si="22"/>
        <v>-4561091.6895725783</v>
      </c>
      <c r="Z13" s="31">
        <f t="shared" si="22"/>
        <v>-4529164.0477455705</v>
      </c>
      <c r="AA13" s="31">
        <f t="shared" si="22"/>
        <v>-4497459.8994113514</v>
      </c>
      <c r="AB13" s="31">
        <f t="shared" si="22"/>
        <v>-4465977.6801154716</v>
      </c>
      <c r="AC13" s="31">
        <f t="shared" si="22"/>
        <v>-4434715.8363546636</v>
      </c>
      <c r="AD13" s="31">
        <f t="shared" si="22"/>
        <v>-4403672.8255001809</v>
      </c>
      <c r="AE13" s="31">
        <f t="shared" si="22"/>
        <v>-4372847.1157216793</v>
      </c>
      <c r="AF13" s="31">
        <f t="shared" si="22"/>
        <v>-4342237.1859116275</v>
      </c>
      <c r="AG13" s="31">
        <f>AF13</f>
        <v>-4342237.1859116275</v>
      </c>
      <c r="AH13" s="31">
        <f t="shared" ref="AH13:BJ13" si="23">AG13</f>
        <v>-4342237.1859116275</v>
      </c>
      <c r="AI13" s="31">
        <f t="shared" si="23"/>
        <v>-4342237.1859116275</v>
      </c>
      <c r="AJ13" s="31">
        <f t="shared" si="23"/>
        <v>-4342237.1859116275</v>
      </c>
      <c r="AK13" s="31">
        <f t="shared" si="23"/>
        <v>-4342237.1859116275</v>
      </c>
      <c r="AL13" s="31">
        <f t="shared" si="23"/>
        <v>-4342237.1859116275</v>
      </c>
      <c r="AM13" s="31">
        <f t="shared" si="23"/>
        <v>-4342237.1859116275</v>
      </c>
      <c r="AN13" s="31">
        <f t="shared" si="23"/>
        <v>-4342237.1859116275</v>
      </c>
      <c r="AO13" s="31">
        <f t="shared" si="23"/>
        <v>-4342237.1859116275</v>
      </c>
      <c r="AP13" s="31">
        <f t="shared" si="23"/>
        <v>-4342237.1859116275</v>
      </c>
      <c r="AQ13" s="31">
        <f t="shared" si="23"/>
        <v>-4342237.1859116275</v>
      </c>
      <c r="AR13" s="31">
        <f t="shared" si="23"/>
        <v>-4342237.1859116275</v>
      </c>
      <c r="AS13" s="31">
        <f t="shared" si="23"/>
        <v>-4342237.1859116275</v>
      </c>
      <c r="AT13" s="31">
        <f t="shared" si="23"/>
        <v>-4342237.1859116275</v>
      </c>
      <c r="AU13" s="31">
        <f t="shared" si="23"/>
        <v>-4342237.1859116275</v>
      </c>
      <c r="AV13" s="31">
        <f t="shared" si="23"/>
        <v>-4342237.1859116275</v>
      </c>
      <c r="AW13" s="31">
        <f t="shared" si="23"/>
        <v>-4342237.1859116275</v>
      </c>
      <c r="AX13" s="31">
        <f t="shared" si="23"/>
        <v>-4342237.1859116275</v>
      </c>
      <c r="AY13" s="31">
        <f t="shared" si="23"/>
        <v>-4342237.1859116275</v>
      </c>
      <c r="AZ13" s="31">
        <f t="shared" si="23"/>
        <v>-4342237.1859116275</v>
      </c>
      <c r="BA13" s="31">
        <f t="shared" si="23"/>
        <v>-4342237.1859116275</v>
      </c>
      <c r="BB13" s="31">
        <f t="shared" si="23"/>
        <v>-4342237.1859116275</v>
      </c>
      <c r="BC13" s="31">
        <f t="shared" si="23"/>
        <v>-4342237.1859116275</v>
      </c>
      <c r="BD13" s="31">
        <f t="shared" si="23"/>
        <v>-4342237.1859116275</v>
      </c>
      <c r="BE13" s="31">
        <f t="shared" si="23"/>
        <v>-4342237.1859116275</v>
      </c>
      <c r="BF13" s="31">
        <f t="shared" si="23"/>
        <v>-4342237.1859116275</v>
      </c>
      <c r="BG13" s="31">
        <f t="shared" si="23"/>
        <v>-4342237.1859116275</v>
      </c>
      <c r="BH13" s="31">
        <f t="shared" si="23"/>
        <v>-4342237.1859116275</v>
      </c>
      <c r="BI13" s="31">
        <f t="shared" si="23"/>
        <v>-4342237.1859116275</v>
      </c>
      <c r="BJ13" s="31">
        <f t="shared" si="23"/>
        <v>-4342237.1859116275</v>
      </c>
    </row>
    <row r="14" spans="1:64" s="24" customFormat="1" x14ac:dyDescent="0.3">
      <c r="A14" s="27" t="s">
        <v>67</v>
      </c>
      <c r="B14" s="31"/>
      <c r="C14" s="31">
        <f>-('OPEX and CAPEX'!$O$4)*'OPEX and CAPEX'!N20</f>
        <v>0</v>
      </c>
      <c r="D14" s="31">
        <f>C14*'OPEX and CAPEX'!$N$20</f>
        <v>0</v>
      </c>
      <c r="E14" s="31">
        <f>D14*'OPEX and CAPEX'!$N$20</f>
        <v>0</v>
      </c>
      <c r="F14" s="31">
        <f>E14*'OPEX and CAPEX'!$N$20</f>
        <v>0</v>
      </c>
      <c r="G14" s="31">
        <f>F14*'OPEX and CAPEX'!$N$20</f>
        <v>0</v>
      </c>
      <c r="H14" s="31">
        <f>G14*'OPEX and CAPEX'!$N$20</f>
        <v>0</v>
      </c>
      <c r="I14" s="31">
        <f>H14*'OPEX and CAPEX'!$N$20</f>
        <v>0</v>
      </c>
      <c r="J14" s="31">
        <f>I14*'OPEX and CAPEX'!$N$20</f>
        <v>0</v>
      </c>
      <c r="K14" s="31">
        <f>J14*'OPEX and CAPEX'!$N$20</f>
        <v>0</v>
      </c>
      <c r="L14" s="31">
        <f>K14*'OPEX and CAPEX'!$N$20</f>
        <v>0</v>
      </c>
      <c r="M14" s="31">
        <f>L14*'OPEX and CAPEX'!$N$20</f>
        <v>0</v>
      </c>
      <c r="N14" s="31">
        <f>M14*'OPEX and CAPEX'!$N$20</f>
        <v>0</v>
      </c>
      <c r="O14" s="31">
        <f>N14*'OPEX and CAPEX'!$N$20</f>
        <v>0</v>
      </c>
      <c r="P14" s="31">
        <f>O14*'OPEX and CAPEX'!$N$20</f>
        <v>0</v>
      </c>
      <c r="Q14" s="31">
        <f>P14*'OPEX and CAPEX'!$N$20</f>
        <v>0</v>
      </c>
      <c r="R14" s="31">
        <f>-('OPEX and CAPEX'!$P$4)*0.65*'OPEX and CAPEX'!$O$20</f>
        <v>0</v>
      </c>
      <c r="S14" s="31">
        <f>R14*'OPEX and CAPEX'!$O$20</f>
        <v>0</v>
      </c>
      <c r="T14" s="31">
        <f>S14*'OPEX and CAPEX'!$O$20</f>
        <v>0</v>
      </c>
      <c r="U14" s="31">
        <f>T14*'OPEX and CAPEX'!$O$20</f>
        <v>0</v>
      </c>
      <c r="V14" s="31">
        <f>U14*'OPEX and CAPEX'!$O$20</f>
        <v>0</v>
      </c>
      <c r="W14" s="31">
        <f>V14*'OPEX and CAPEX'!$O$20</f>
        <v>0</v>
      </c>
      <c r="X14" s="31">
        <f>W14*'OPEX and CAPEX'!$O$20</f>
        <v>0</v>
      </c>
      <c r="Y14" s="31">
        <f>X14*'OPEX and CAPEX'!$O$20</f>
        <v>0</v>
      </c>
      <c r="Z14" s="31">
        <f>Y14*'OPEX and CAPEX'!$O$20</f>
        <v>0</v>
      </c>
      <c r="AA14" s="31">
        <f>Z14*'OPEX and CAPEX'!$O$20</f>
        <v>0</v>
      </c>
      <c r="AB14" s="31">
        <f>AA14*'OPEX and CAPEX'!$O$20</f>
        <v>0</v>
      </c>
      <c r="AC14" s="31">
        <f>AB14*'OPEX and CAPEX'!$O$20</f>
        <v>0</v>
      </c>
      <c r="AD14" s="31">
        <f>AC14*'OPEX and CAPEX'!$O$20</f>
        <v>0</v>
      </c>
      <c r="AE14" s="31">
        <f>AD14*'OPEX and CAPEX'!$O$20</f>
        <v>0</v>
      </c>
      <c r="AF14" s="31">
        <f>AE14*'OPEX and CAPEX'!$O$20</f>
        <v>0</v>
      </c>
      <c r="AG14" s="31">
        <f>-('OPEX and CAPEX'!$Q$4)*0.65*0.6933*'OPEX and CAPEX'!$P$20</f>
        <v>0</v>
      </c>
      <c r="AH14" s="31">
        <f>AG14*'OPEX and CAPEX'!$P$20</f>
        <v>0</v>
      </c>
      <c r="AI14" s="31">
        <f>AH14*'OPEX and CAPEX'!$P$20</f>
        <v>0</v>
      </c>
      <c r="AJ14" s="31">
        <f>AI14*'OPEX and CAPEX'!$P$20</f>
        <v>0</v>
      </c>
      <c r="AK14" s="31">
        <f>AJ14*'OPEX and CAPEX'!$P$20</f>
        <v>0</v>
      </c>
      <c r="AL14" s="31">
        <f>AK14*'OPEX and CAPEX'!$P$20</f>
        <v>0</v>
      </c>
      <c r="AM14" s="31">
        <f>AL14*'OPEX and CAPEX'!$P$20</f>
        <v>0</v>
      </c>
      <c r="AN14" s="31">
        <f>AM14*'OPEX and CAPEX'!$P$20</f>
        <v>0</v>
      </c>
      <c r="AO14" s="31">
        <f>AN14*'OPEX and CAPEX'!$P$20</f>
        <v>0</v>
      </c>
      <c r="AP14" s="31">
        <f>AO14*'OPEX and CAPEX'!$P$20</f>
        <v>0</v>
      </c>
      <c r="AQ14" s="31">
        <f>AP14*'OPEX and CAPEX'!$P$20</f>
        <v>0</v>
      </c>
      <c r="AR14" s="31">
        <f>AQ14*'OPEX and CAPEX'!$P$20</f>
        <v>0</v>
      </c>
      <c r="AS14" s="31">
        <f>AR14*'OPEX and CAPEX'!$P$20</f>
        <v>0</v>
      </c>
      <c r="AT14" s="31">
        <f>AS14*'OPEX and CAPEX'!$P$20</f>
        <v>0</v>
      </c>
      <c r="AU14" s="31">
        <f>AT14*'OPEX and CAPEX'!$P$20</f>
        <v>0</v>
      </c>
      <c r="AV14" s="31">
        <f>-('OPEX and CAPEX'!$R$4)*0.65*0.6933*0.7222*'OPEX and CAPEX'!$Q$20</f>
        <v>0</v>
      </c>
      <c r="AW14" s="31">
        <f>-('OPEX and CAPEX'!$R$4)*0.65*0.6933*0.7222*'OPEX and CAPEX'!$Q$20</f>
        <v>0</v>
      </c>
      <c r="AX14" s="31">
        <f>-('OPEX and CAPEX'!$R$4)*0.65*0.6933*0.7222*'OPEX and CAPEX'!$Q$20</f>
        <v>0</v>
      </c>
      <c r="AY14" s="31">
        <f>-('OPEX and CAPEX'!$R$4)*0.65*0.6933*0.7222*'OPEX and CAPEX'!$Q$20</f>
        <v>0</v>
      </c>
      <c r="AZ14" s="31">
        <f>-('OPEX and CAPEX'!$R$4)*0.65*0.6933*0.7222*'OPEX and CAPEX'!$Q$20</f>
        <v>0</v>
      </c>
      <c r="BA14" s="31">
        <f>-('OPEX and CAPEX'!$R$4)*0.65*0.6933*0.7222*'OPEX and CAPEX'!$Q$20</f>
        <v>0</v>
      </c>
      <c r="BB14" s="31">
        <f>-('OPEX and CAPEX'!$R$4)*0.65*0.6933*0.7222*'OPEX and CAPEX'!$Q$20</f>
        <v>0</v>
      </c>
      <c r="BC14" s="31">
        <f>-('OPEX and CAPEX'!$R$4)*0.65*0.6933*0.7222*'OPEX and CAPEX'!$Q$20</f>
        <v>0</v>
      </c>
      <c r="BD14" s="31">
        <f>-('OPEX and CAPEX'!$R$4)*0.65*0.6933*0.7222*'OPEX and CAPEX'!$Q$20</f>
        <v>0</v>
      </c>
      <c r="BE14" s="31">
        <f>-('OPEX and CAPEX'!$R$4)*0.65*0.6933*0.7222*'OPEX and CAPEX'!$Q$20</f>
        <v>0</v>
      </c>
      <c r="BF14" s="31">
        <f>-('OPEX and CAPEX'!$R$4)*0.65*0.6933*0.7222*'OPEX and CAPEX'!$Q$20</f>
        <v>0</v>
      </c>
      <c r="BG14" s="31">
        <f>-('OPEX and CAPEX'!$R$4)*0.65*0.6933*0.7222*'OPEX and CAPEX'!$Q$20</f>
        <v>0</v>
      </c>
      <c r="BH14" s="31">
        <f>-('OPEX and CAPEX'!$R$4)*0.65*0.6933*0.7222*'OPEX and CAPEX'!$Q$20</f>
        <v>0</v>
      </c>
      <c r="BI14" s="31">
        <f>-('OPEX and CAPEX'!$R$4)*0.65*0.6933*0.7222*'OPEX and CAPEX'!$Q$20</f>
        <v>0</v>
      </c>
      <c r="BJ14" s="31">
        <f>-('OPEX and CAPEX'!$R$4)*0.65*0.6933*0.7222*'OPEX and CAPEX'!$Q$20</f>
        <v>0</v>
      </c>
    </row>
    <row r="15" spans="1:64" s="24" customFormat="1" x14ac:dyDescent="0.3">
      <c r="A15" s="27" t="s">
        <v>68</v>
      </c>
      <c r="B15" s="31"/>
      <c r="C15" s="31">
        <f>-'OPEX and CAPEX'!$E$22</f>
        <v>-327355</v>
      </c>
      <c r="D15" s="31">
        <f>-'OPEX and CAPEX'!$E$22</f>
        <v>-327355</v>
      </c>
      <c r="E15" s="31">
        <f>-'OPEX and CAPEX'!$E$22</f>
        <v>-327355</v>
      </c>
      <c r="F15" s="31">
        <f>-'OPEX and CAPEX'!$E$22</f>
        <v>-327355</v>
      </c>
      <c r="G15" s="31">
        <f>-'OPEX and CAPEX'!$E$22</f>
        <v>-327355</v>
      </c>
      <c r="H15" s="31">
        <f>-'OPEX and CAPEX'!$E$22</f>
        <v>-327355</v>
      </c>
      <c r="I15" s="31">
        <f>-'OPEX and CAPEX'!$E$22</f>
        <v>-327355</v>
      </c>
      <c r="J15" s="31">
        <f>-'OPEX and CAPEX'!$E$22</f>
        <v>-327355</v>
      </c>
      <c r="K15" s="31">
        <f>-'OPEX and CAPEX'!$E$22</f>
        <v>-327355</v>
      </c>
      <c r="L15" s="31">
        <f>-'OPEX and CAPEX'!$E$22</f>
        <v>-327355</v>
      </c>
      <c r="M15" s="31">
        <f>-'OPEX and CAPEX'!$E$22</f>
        <v>-327355</v>
      </c>
      <c r="N15" s="31">
        <f>-'OPEX and CAPEX'!$E$22</f>
        <v>-327355</v>
      </c>
      <c r="O15" s="31">
        <f>-'OPEX and CAPEX'!$E$22</f>
        <v>-327355</v>
      </c>
      <c r="P15" s="31">
        <f>-'OPEX and CAPEX'!$E$22</f>
        <v>-327355</v>
      </c>
      <c r="Q15" s="31">
        <f>-'OPEX and CAPEX'!$E$22</f>
        <v>-327355</v>
      </c>
      <c r="R15" s="31">
        <f>-'OPEX and CAPEX'!$E$22</f>
        <v>-327355</v>
      </c>
      <c r="S15" s="31">
        <f>-'OPEX and CAPEX'!$E$22</f>
        <v>-327355</v>
      </c>
      <c r="T15" s="31">
        <f>-'OPEX and CAPEX'!$E$22</f>
        <v>-327355</v>
      </c>
      <c r="U15" s="31">
        <f>-'OPEX and CAPEX'!$E$22</f>
        <v>-327355</v>
      </c>
      <c r="V15" s="31">
        <f>-'OPEX and CAPEX'!$E$22</f>
        <v>-327355</v>
      </c>
      <c r="W15" s="31">
        <f>-'OPEX and CAPEX'!$E$22</f>
        <v>-327355</v>
      </c>
      <c r="X15" s="31">
        <f>-'OPEX and CAPEX'!$E$22</f>
        <v>-327355</v>
      </c>
      <c r="Y15" s="31">
        <f>-'OPEX and CAPEX'!$E$22</f>
        <v>-327355</v>
      </c>
      <c r="Z15" s="31">
        <f>-'OPEX and CAPEX'!$E$22</f>
        <v>-327355</v>
      </c>
      <c r="AA15" s="31">
        <f>-'OPEX and CAPEX'!$E$22</f>
        <v>-327355</v>
      </c>
      <c r="AB15" s="31">
        <f>-'OPEX and CAPEX'!$E$22</f>
        <v>-327355</v>
      </c>
      <c r="AC15" s="31">
        <f>-'OPEX and CAPEX'!$E$22</f>
        <v>-327355</v>
      </c>
      <c r="AD15" s="31">
        <f>-'OPEX and CAPEX'!$E$22</f>
        <v>-327355</v>
      </c>
      <c r="AE15" s="31">
        <f>-'OPEX and CAPEX'!$E$22</f>
        <v>-327355</v>
      </c>
      <c r="AF15" s="31">
        <f>-'OPEX and CAPEX'!$E$22</f>
        <v>-327355</v>
      </c>
      <c r="AG15" s="31">
        <f>-'OPEX and CAPEX'!$E$22</f>
        <v>-327355</v>
      </c>
      <c r="AH15" s="31">
        <f>-'OPEX and CAPEX'!$E$22</f>
        <v>-327355</v>
      </c>
      <c r="AI15" s="31">
        <f>-'OPEX and CAPEX'!$E$22</f>
        <v>-327355</v>
      </c>
      <c r="AJ15" s="31">
        <f>-'OPEX and CAPEX'!$E$22</f>
        <v>-327355</v>
      </c>
      <c r="AK15" s="31">
        <f>-'OPEX and CAPEX'!$E$22</f>
        <v>-327355</v>
      </c>
      <c r="AL15" s="31">
        <f>-'OPEX and CAPEX'!$E$22</f>
        <v>-327355</v>
      </c>
      <c r="AM15" s="31">
        <f>-'OPEX and CAPEX'!$E$22</f>
        <v>-327355</v>
      </c>
      <c r="AN15" s="31">
        <f>-'OPEX and CAPEX'!$E$22</f>
        <v>-327355</v>
      </c>
      <c r="AO15" s="31">
        <f>-'OPEX and CAPEX'!$E$22</f>
        <v>-327355</v>
      </c>
      <c r="AP15" s="31">
        <f>-'OPEX and CAPEX'!$E$22</f>
        <v>-327355</v>
      </c>
      <c r="AQ15" s="31">
        <f>-'OPEX and CAPEX'!$E$22</f>
        <v>-327355</v>
      </c>
      <c r="AR15" s="31">
        <f>-'OPEX and CAPEX'!$E$22</f>
        <v>-327355</v>
      </c>
      <c r="AS15" s="31">
        <f>-'OPEX and CAPEX'!$E$22</f>
        <v>-327355</v>
      </c>
      <c r="AT15" s="31">
        <f>-'OPEX and CAPEX'!$E$22</f>
        <v>-327355</v>
      </c>
      <c r="AU15" s="31">
        <f>-'OPEX and CAPEX'!$E$22</f>
        <v>-327355</v>
      </c>
      <c r="AV15" s="31">
        <f>-'OPEX and CAPEX'!$E$22</f>
        <v>-327355</v>
      </c>
      <c r="AW15" s="31">
        <f>-'OPEX and CAPEX'!$E$22</f>
        <v>-327355</v>
      </c>
      <c r="AX15" s="31">
        <f>-'OPEX and CAPEX'!$E$22</f>
        <v>-327355</v>
      </c>
      <c r="AY15" s="31">
        <f>-'OPEX and CAPEX'!$E$22</f>
        <v>-327355</v>
      </c>
      <c r="AZ15" s="31">
        <f>-'OPEX and CAPEX'!$E$22</f>
        <v>-327355</v>
      </c>
      <c r="BA15" s="31">
        <f>-'OPEX and CAPEX'!$E$22</f>
        <v>-327355</v>
      </c>
      <c r="BB15" s="31">
        <f>-'OPEX and CAPEX'!$E$22</f>
        <v>-327355</v>
      </c>
      <c r="BC15" s="31">
        <f>-'OPEX and CAPEX'!$E$22</f>
        <v>-327355</v>
      </c>
      <c r="BD15" s="31">
        <f>-'OPEX and CAPEX'!$E$22</f>
        <v>-327355</v>
      </c>
      <c r="BE15" s="31">
        <f>-'OPEX and CAPEX'!$E$22</f>
        <v>-327355</v>
      </c>
      <c r="BF15" s="31">
        <f>-'OPEX and CAPEX'!$E$22</f>
        <v>-327355</v>
      </c>
      <c r="BG15" s="31">
        <f>-'OPEX and CAPEX'!$E$22</f>
        <v>-327355</v>
      </c>
      <c r="BH15" s="31">
        <f>-'OPEX and CAPEX'!$E$22</f>
        <v>-327355</v>
      </c>
      <c r="BI15" s="31">
        <f>-'OPEX and CAPEX'!$E$22</f>
        <v>-327355</v>
      </c>
      <c r="BJ15" s="31">
        <f>-'OPEX and CAPEX'!$E$22</f>
        <v>-327355</v>
      </c>
    </row>
    <row r="16" spans="1:64" s="24" customFormat="1" x14ac:dyDescent="0.3">
      <c r="A16" s="33" t="s">
        <v>69</v>
      </c>
      <c r="B16" s="34"/>
      <c r="C16" s="34">
        <f t="shared" ref="C16:AH16" si="24">C12+C13+C14+C15</f>
        <v>-101427855.35845768</v>
      </c>
      <c r="D16" s="34">
        <f t="shared" si="24"/>
        <v>-99052210.966109693</v>
      </c>
      <c r="E16" s="34">
        <f t="shared" si="24"/>
        <v>-96732389.109346434</v>
      </c>
      <c r="F16" s="34">
        <f t="shared" si="24"/>
        <v>-94467078.078600109</v>
      </c>
      <c r="G16" s="34">
        <f t="shared" si="24"/>
        <v>-92254996.986657634</v>
      </c>
      <c r="H16" s="34">
        <f t="shared" si="24"/>
        <v>-90094895.044401452</v>
      </c>
      <c r="I16" s="34">
        <f t="shared" si="24"/>
        <v>-87985550.853569105</v>
      </c>
      <c r="J16" s="34">
        <f t="shared" si="24"/>
        <v>-85925771.716131315</v>
      </c>
      <c r="K16" s="34">
        <f t="shared" si="24"/>
        <v>-83914392.959898159</v>
      </c>
      <c r="L16" s="34">
        <f t="shared" si="24"/>
        <v>-81950277.279972166</v>
      </c>
      <c r="M16" s="34">
        <f t="shared" si="24"/>
        <v>-80032314.095675722</v>
      </c>
      <c r="N16" s="34">
        <f t="shared" si="24"/>
        <v>-78159418.922589391</v>
      </c>
      <c r="O16" s="34">
        <f t="shared" si="24"/>
        <v>-76330532.759345978</v>
      </c>
      <c r="P16" s="34">
        <f t="shared" si="24"/>
        <v>-74544621.488833532</v>
      </c>
      <c r="Q16" s="34">
        <f t="shared" si="24"/>
        <v>-72800675.293468878</v>
      </c>
      <c r="R16" s="34">
        <f t="shared" si="24"/>
        <v>-72293359.170255989</v>
      </c>
      <c r="S16" s="34">
        <f t="shared" si="24"/>
        <v>-71789597.141064197</v>
      </c>
      <c r="T16" s="34">
        <f t="shared" si="24"/>
        <v>-71289361.446076751</v>
      </c>
      <c r="U16" s="34">
        <f t="shared" si="24"/>
        <v>-70792627.400954202</v>
      </c>
      <c r="V16" s="34">
        <f t="shared" si="24"/>
        <v>-70299370.494147524</v>
      </c>
      <c r="W16" s="34">
        <f t="shared" si="24"/>
        <v>-69809566.385688499</v>
      </c>
      <c r="X16" s="34">
        <f t="shared" si="24"/>
        <v>-69323190.905988678</v>
      </c>
      <c r="Y16" s="34">
        <f t="shared" si="24"/>
        <v>-68840220.054646745</v>
      </c>
      <c r="Z16" s="34">
        <f t="shared" si="24"/>
        <v>-68360629.999264225</v>
      </c>
      <c r="AA16" s="34">
        <f t="shared" si="24"/>
        <v>-67884397.074269384</v>
      </c>
      <c r="AB16" s="34">
        <f t="shared" si="24"/>
        <v>-67411497.779749483</v>
      </c>
      <c r="AC16" s="34">
        <f t="shared" si="24"/>
        <v>-66941908.780291252</v>
      </c>
      <c r="AD16" s="34">
        <f t="shared" si="24"/>
        <v>-66475606.90382921</v>
      </c>
      <c r="AE16" s="34">
        <f t="shared" si="24"/>
        <v>-66012569.140502401</v>
      </c>
      <c r="AF16" s="34">
        <f t="shared" si="24"/>
        <v>-65552772.641518883</v>
      </c>
      <c r="AG16" s="34">
        <f t="shared" si="24"/>
        <v>-65552772.641518883</v>
      </c>
      <c r="AH16" s="34">
        <f t="shared" si="24"/>
        <v>-65552772.641518883</v>
      </c>
      <c r="AI16" s="34">
        <f t="shared" ref="AI16:BJ16" si="25">AI12+AI13+AI14+AI15</f>
        <v>-65552772.641518883</v>
      </c>
      <c r="AJ16" s="34">
        <f t="shared" si="25"/>
        <v>-65552772.641518883</v>
      </c>
      <c r="AK16" s="34">
        <f t="shared" si="25"/>
        <v>-65552772.641518883</v>
      </c>
      <c r="AL16" s="34">
        <f t="shared" si="25"/>
        <v>-65552772.641518883</v>
      </c>
      <c r="AM16" s="34">
        <f t="shared" si="25"/>
        <v>-65552772.641518883</v>
      </c>
      <c r="AN16" s="34">
        <f t="shared" si="25"/>
        <v>-65552772.641518883</v>
      </c>
      <c r="AO16" s="34">
        <f t="shared" si="25"/>
        <v>-65552772.641518883</v>
      </c>
      <c r="AP16" s="34">
        <f t="shared" si="25"/>
        <v>-65552772.641518883</v>
      </c>
      <c r="AQ16" s="34">
        <f t="shared" si="25"/>
        <v>-65552772.641518883</v>
      </c>
      <c r="AR16" s="34">
        <f t="shared" si="25"/>
        <v>-65552772.641518883</v>
      </c>
      <c r="AS16" s="34">
        <f t="shared" si="25"/>
        <v>-65552772.641518883</v>
      </c>
      <c r="AT16" s="34">
        <f t="shared" si="25"/>
        <v>-65552772.641518883</v>
      </c>
      <c r="AU16" s="34">
        <f t="shared" si="25"/>
        <v>-65552772.641518883</v>
      </c>
      <c r="AV16" s="34">
        <f t="shared" si="25"/>
        <v>-65552772.641518883</v>
      </c>
      <c r="AW16" s="34">
        <f t="shared" si="25"/>
        <v>-65552772.641518883</v>
      </c>
      <c r="AX16" s="34">
        <f t="shared" si="25"/>
        <v>-65552772.641518883</v>
      </c>
      <c r="AY16" s="34">
        <f t="shared" si="25"/>
        <v>-65552772.641518883</v>
      </c>
      <c r="AZ16" s="34">
        <f t="shared" si="25"/>
        <v>-65552772.641518883</v>
      </c>
      <c r="BA16" s="34">
        <f t="shared" si="25"/>
        <v>-65552772.641518883</v>
      </c>
      <c r="BB16" s="34">
        <f t="shared" si="25"/>
        <v>-65552772.641518883</v>
      </c>
      <c r="BC16" s="34">
        <f t="shared" si="25"/>
        <v>-65552772.641518883</v>
      </c>
      <c r="BD16" s="34">
        <f t="shared" si="25"/>
        <v>-65552772.641518883</v>
      </c>
      <c r="BE16" s="34">
        <f t="shared" si="25"/>
        <v>-65552772.641518883</v>
      </c>
      <c r="BF16" s="34">
        <f t="shared" si="25"/>
        <v>-65552772.641518883</v>
      </c>
      <c r="BG16" s="34">
        <f t="shared" si="25"/>
        <v>-65552772.641518883</v>
      </c>
      <c r="BH16" s="34">
        <f t="shared" si="25"/>
        <v>-65552772.641518883</v>
      </c>
      <c r="BI16" s="34">
        <f t="shared" si="25"/>
        <v>-65552772.641518883</v>
      </c>
      <c r="BJ16" s="34">
        <f t="shared" si="25"/>
        <v>-65552772.641518883</v>
      </c>
    </row>
    <row r="17" spans="1:63" x14ac:dyDescent="0.3">
      <c r="A17" s="27" t="s">
        <v>70</v>
      </c>
      <c r="B17" s="32">
        <f>N2</f>
        <v>2469290000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5">
        <f>('OPEX and CAPEX'!C7+'OPEX and CAPEX'!C10+'OPEX and CAPEX'!C13+'OPEX and CAPEX'!L4)*0.7+'OPEX and CAPEX'!C22</f>
        <v>236273000</v>
      </c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>
        <f>W17*0.85+'OPEX and CAPEX'!C22</f>
        <v>224032050</v>
      </c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</row>
    <row r="18" spans="1:63" x14ac:dyDescent="0.3">
      <c r="A18" s="33" t="s">
        <v>71</v>
      </c>
      <c r="B18" s="34"/>
      <c r="C18" s="34">
        <f t="shared" ref="C18:AH18" si="26">C11+C16</f>
        <v>84804343.066319287</v>
      </c>
      <c r="D18" s="34">
        <f t="shared" si="26"/>
        <v>86213037.08856824</v>
      </c>
      <c r="E18" s="34">
        <f t="shared" si="26"/>
        <v>87597417.355495766</v>
      </c>
      <c r="F18" s="34">
        <f t="shared" si="26"/>
        <v>88958359.931629092</v>
      </c>
      <c r="G18" s="34">
        <f t="shared" si="26"/>
        <v>90296695.640646711</v>
      </c>
      <c r="H18" s="34">
        <f t="shared" si="26"/>
        <v>91613233.681591347</v>
      </c>
      <c r="I18" s="34">
        <f t="shared" si="26"/>
        <v>92908762.191632196</v>
      </c>
      <c r="J18" s="34">
        <f t="shared" si="26"/>
        <v>94184048.794761762</v>
      </c>
      <c r="K18" s="34">
        <f t="shared" si="26"/>
        <v>95439841.136771992</v>
      </c>
      <c r="L18" s="34">
        <f t="shared" si="26"/>
        <v>96676867.406848639</v>
      </c>
      <c r="M18" s="34">
        <f t="shared" si="26"/>
        <v>97895836.846111998</v>
      </c>
      <c r="N18" s="34">
        <f t="shared" si="26"/>
        <v>99097440.243426591</v>
      </c>
      <c r="O18" s="34">
        <f t="shared" si="26"/>
        <v>100282350.41879234</v>
      </c>
      <c r="P18" s="34">
        <f t="shared" si="26"/>
        <v>101451222.69462387</v>
      </c>
      <c r="Q18" s="34">
        <f t="shared" si="26"/>
        <v>102604695.35521655</v>
      </c>
      <c r="R18" s="34">
        <f t="shared" si="26"/>
        <v>98004051.25370124</v>
      </c>
      <c r="S18" s="34">
        <f t="shared" si="26"/>
        <v>97936646.864082187</v>
      </c>
      <c r="T18" s="34">
        <f t="shared" si="26"/>
        <v>97891066.762480199</v>
      </c>
      <c r="U18" s="34">
        <f t="shared" si="26"/>
        <v>97866989.871453747</v>
      </c>
      <c r="V18" s="34">
        <f t="shared" si="26"/>
        <v>97864101.615451559</v>
      </c>
      <c r="W18" s="34">
        <f t="shared" si="26"/>
        <v>98447866.260478601</v>
      </c>
      <c r="X18" s="34">
        <f t="shared" si="26"/>
        <v>99037357.923759803</v>
      </c>
      <c r="Y18" s="34">
        <f t="shared" si="26"/>
        <v>99632584.092293188</v>
      </c>
      <c r="Z18" s="34">
        <f t="shared" si="26"/>
        <v>100233552.63494311</v>
      </c>
      <c r="AA18" s="34">
        <f t="shared" si="26"/>
        <v>100840271.80138889</v>
      </c>
      <c r="AB18" s="34">
        <f t="shared" si="26"/>
        <v>101452750.22110099</v>
      </c>
      <c r="AC18" s="34">
        <f t="shared" si="26"/>
        <v>102070996.90234485</v>
      </c>
      <c r="AD18" s="34">
        <f t="shared" si="26"/>
        <v>102695021.23121226</v>
      </c>
      <c r="AE18" s="34">
        <f t="shared" si="26"/>
        <v>103324832.9706797</v>
      </c>
      <c r="AF18" s="34">
        <f t="shared" si="26"/>
        <v>103960442.25969416</v>
      </c>
      <c r="AG18" s="34">
        <f t="shared" si="26"/>
        <v>107458578.75344104</v>
      </c>
      <c r="AH18" s="34">
        <f t="shared" si="26"/>
        <v>107642356.07311457</v>
      </c>
      <c r="AI18" s="34">
        <f t="shared" ref="AI18:BJ18" si="27">AI11+AI16</f>
        <v>107835346.01347226</v>
      </c>
      <c r="AJ18" s="34">
        <f t="shared" si="27"/>
        <v>108037536.93504786</v>
      </c>
      <c r="AK18" s="34">
        <f t="shared" si="27"/>
        <v>108248917.73984149</v>
      </c>
      <c r="AL18" s="34">
        <f t="shared" si="27"/>
        <v>108469477.86938378</v>
      </c>
      <c r="AM18" s="34">
        <f t="shared" si="27"/>
        <v>108699207.30283511</v>
      </c>
      <c r="AN18" s="34">
        <f t="shared" si="27"/>
        <v>108938096.55511916</v>
      </c>
      <c r="AO18" s="34">
        <f t="shared" si="27"/>
        <v>109186136.67509121</v>
      </c>
      <c r="AP18" s="34">
        <f t="shared" si="27"/>
        <v>109443319.2437405</v>
      </c>
      <c r="AQ18" s="34">
        <f t="shared" si="27"/>
        <v>110558744.33341715</v>
      </c>
      <c r="AR18" s="34">
        <f t="shared" si="27"/>
        <v>111681279.14261541</v>
      </c>
      <c r="AS18" s="34">
        <f t="shared" si="27"/>
        <v>112810968.98868749</v>
      </c>
      <c r="AT18" s="34">
        <f t="shared" si="27"/>
        <v>113947859.47783846</v>
      </c>
      <c r="AU18" s="34">
        <f t="shared" si="27"/>
        <v>115091996.50696722</v>
      </c>
      <c r="AV18" s="34">
        <f t="shared" si="27"/>
        <v>122691899.09889498</v>
      </c>
      <c r="AW18" s="34">
        <f t="shared" si="27"/>
        <v>123891770.6365684</v>
      </c>
      <c r="AX18" s="34">
        <f t="shared" si="27"/>
        <v>125099290.15542299</v>
      </c>
      <c r="AY18" s="34">
        <f t="shared" si="27"/>
        <v>126314506.40369067</v>
      </c>
      <c r="AZ18" s="34">
        <f t="shared" si="27"/>
        <v>127537468.44032487</v>
      </c>
      <c r="BA18" s="34">
        <f t="shared" si="27"/>
        <v>128768225.63698059</v>
      </c>
      <c r="BB18" s="34">
        <f t="shared" si="27"/>
        <v>130006827.68000773</v>
      </c>
      <c r="BC18" s="34">
        <f t="shared" si="27"/>
        <v>131253324.57245716</v>
      </c>
      <c r="BD18" s="34">
        <f t="shared" si="27"/>
        <v>132507766.63609907</v>
      </c>
      <c r="BE18" s="34">
        <f t="shared" si="27"/>
        <v>133770204.51345462</v>
      </c>
      <c r="BF18" s="34">
        <f t="shared" si="27"/>
        <v>135040689.16984046</v>
      </c>
      <c r="BG18" s="34">
        <f t="shared" si="27"/>
        <v>136319271.89542606</v>
      </c>
      <c r="BH18" s="34">
        <f t="shared" si="27"/>
        <v>137606004.30730459</v>
      </c>
      <c r="BI18" s="34">
        <f t="shared" si="27"/>
        <v>138900938.35157639</v>
      </c>
      <c r="BJ18" s="34">
        <f t="shared" si="27"/>
        <v>140204126.30544642</v>
      </c>
    </row>
    <row r="19" spans="1:63" x14ac:dyDescent="0.3">
      <c r="A19" s="27" t="s">
        <v>72</v>
      </c>
      <c r="B19" s="31"/>
      <c r="C19" s="31">
        <f>-('OPEX and CAPEX'!C4/'OPEX and CAPEX'!F4+'OPEX and CAPEX'!C7/'OPEX and CAPEX'!F7+'OPEX and CAPEX'!C10/'OPEX and CAPEX'!F10+'OPEX and CAPEX'!C13/'OPEX and CAPEX'!F13+'OPEX and CAPEX'!L4/'OPEX and CAPEX'!S4)</f>
        <v>-50989500</v>
      </c>
      <c r="D19" s="31">
        <f t="shared" ref="D19:AI19" si="28">$C$19</f>
        <v>-50989500</v>
      </c>
      <c r="E19" s="31">
        <f t="shared" si="28"/>
        <v>-50989500</v>
      </c>
      <c r="F19" s="31">
        <f t="shared" si="28"/>
        <v>-50989500</v>
      </c>
      <c r="G19" s="31">
        <f t="shared" si="28"/>
        <v>-50989500</v>
      </c>
      <c r="H19" s="31">
        <f t="shared" si="28"/>
        <v>-50989500</v>
      </c>
      <c r="I19" s="31">
        <f t="shared" si="28"/>
        <v>-50989500</v>
      </c>
      <c r="J19" s="31">
        <f t="shared" si="28"/>
        <v>-50989500</v>
      </c>
      <c r="K19" s="31">
        <f t="shared" si="28"/>
        <v>-50989500</v>
      </c>
      <c r="L19" s="31">
        <f t="shared" si="28"/>
        <v>-50989500</v>
      </c>
      <c r="M19" s="31">
        <f t="shared" si="28"/>
        <v>-50989500</v>
      </c>
      <c r="N19" s="31">
        <f t="shared" si="28"/>
        <v>-50989500</v>
      </c>
      <c r="O19" s="31">
        <f t="shared" si="28"/>
        <v>-50989500</v>
      </c>
      <c r="P19" s="31">
        <f t="shared" si="28"/>
        <v>-50989500</v>
      </c>
      <c r="Q19" s="31">
        <f t="shared" si="28"/>
        <v>-50989500</v>
      </c>
      <c r="R19" s="31">
        <f t="shared" si="28"/>
        <v>-50989500</v>
      </c>
      <c r="S19" s="31">
        <f t="shared" si="28"/>
        <v>-50989500</v>
      </c>
      <c r="T19" s="31">
        <f t="shared" si="28"/>
        <v>-50989500</v>
      </c>
      <c r="U19" s="31">
        <f t="shared" si="28"/>
        <v>-50989500</v>
      </c>
      <c r="V19" s="31">
        <f t="shared" si="28"/>
        <v>-50989500</v>
      </c>
      <c r="W19" s="31">
        <f t="shared" si="28"/>
        <v>-50989500</v>
      </c>
      <c r="X19" s="31">
        <f t="shared" si="28"/>
        <v>-50989500</v>
      </c>
      <c r="Y19" s="31">
        <f t="shared" si="28"/>
        <v>-50989500</v>
      </c>
      <c r="Z19" s="31">
        <f t="shared" si="28"/>
        <v>-50989500</v>
      </c>
      <c r="AA19" s="31">
        <f t="shared" si="28"/>
        <v>-50989500</v>
      </c>
      <c r="AB19" s="31">
        <f t="shared" si="28"/>
        <v>-50989500</v>
      </c>
      <c r="AC19" s="31">
        <f t="shared" si="28"/>
        <v>-50989500</v>
      </c>
      <c r="AD19" s="31">
        <f t="shared" si="28"/>
        <v>-50989500</v>
      </c>
      <c r="AE19" s="31">
        <f t="shared" si="28"/>
        <v>-50989500</v>
      </c>
      <c r="AF19" s="31">
        <f t="shared" si="28"/>
        <v>-50989500</v>
      </c>
      <c r="AG19" s="31">
        <f t="shared" si="28"/>
        <v>-50989500</v>
      </c>
      <c r="AH19" s="31">
        <f t="shared" si="28"/>
        <v>-50989500</v>
      </c>
      <c r="AI19" s="31">
        <f t="shared" si="28"/>
        <v>-50989500</v>
      </c>
      <c r="AJ19" s="31">
        <f t="shared" ref="AJ19:BJ19" si="29">$C$19</f>
        <v>-50989500</v>
      </c>
      <c r="AK19" s="31">
        <f t="shared" si="29"/>
        <v>-50989500</v>
      </c>
      <c r="AL19" s="31">
        <f t="shared" si="29"/>
        <v>-50989500</v>
      </c>
      <c r="AM19" s="31">
        <f t="shared" si="29"/>
        <v>-50989500</v>
      </c>
      <c r="AN19" s="31">
        <f t="shared" si="29"/>
        <v>-50989500</v>
      </c>
      <c r="AO19" s="31">
        <f t="shared" si="29"/>
        <v>-50989500</v>
      </c>
      <c r="AP19" s="31">
        <f t="shared" si="29"/>
        <v>-50989500</v>
      </c>
      <c r="AQ19" s="31">
        <f t="shared" si="29"/>
        <v>-50989500</v>
      </c>
      <c r="AR19" s="31">
        <f t="shared" si="29"/>
        <v>-50989500</v>
      </c>
      <c r="AS19" s="31">
        <f t="shared" si="29"/>
        <v>-50989500</v>
      </c>
      <c r="AT19" s="31">
        <f t="shared" si="29"/>
        <v>-50989500</v>
      </c>
      <c r="AU19" s="31">
        <f t="shared" si="29"/>
        <v>-50989500</v>
      </c>
      <c r="AV19" s="31">
        <f t="shared" si="29"/>
        <v>-50989500</v>
      </c>
      <c r="AW19" s="31">
        <f t="shared" si="29"/>
        <v>-50989500</v>
      </c>
      <c r="AX19" s="31">
        <f t="shared" si="29"/>
        <v>-50989500</v>
      </c>
      <c r="AY19" s="31">
        <f t="shared" si="29"/>
        <v>-50989500</v>
      </c>
      <c r="AZ19" s="31">
        <f t="shared" si="29"/>
        <v>-50989500</v>
      </c>
      <c r="BA19" s="31">
        <f t="shared" si="29"/>
        <v>-50989500</v>
      </c>
      <c r="BB19" s="31">
        <f t="shared" si="29"/>
        <v>-50989500</v>
      </c>
      <c r="BC19" s="31">
        <f t="shared" si="29"/>
        <v>-50989500</v>
      </c>
      <c r="BD19" s="31">
        <f t="shared" si="29"/>
        <v>-50989500</v>
      </c>
      <c r="BE19" s="31">
        <f t="shared" si="29"/>
        <v>-50989500</v>
      </c>
      <c r="BF19" s="31">
        <f t="shared" si="29"/>
        <v>-50989500</v>
      </c>
      <c r="BG19" s="31">
        <f t="shared" si="29"/>
        <v>-50989500</v>
      </c>
      <c r="BH19" s="31">
        <f t="shared" si="29"/>
        <v>-50989500</v>
      </c>
      <c r="BI19" s="31">
        <f t="shared" si="29"/>
        <v>-50989500</v>
      </c>
      <c r="BJ19" s="31">
        <f t="shared" si="29"/>
        <v>-50989500</v>
      </c>
    </row>
    <row r="20" spans="1:63" x14ac:dyDescent="0.3">
      <c r="A20" s="33" t="s">
        <v>73</v>
      </c>
      <c r="B20" s="34"/>
      <c r="C20" s="34">
        <f t="shared" ref="C20:AH20" si="30">C18+C19</f>
        <v>33814843.066319287</v>
      </c>
      <c r="D20" s="34">
        <f t="shared" si="30"/>
        <v>35223537.08856824</v>
      </c>
      <c r="E20" s="34">
        <f t="shared" si="30"/>
        <v>36607917.355495766</v>
      </c>
      <c r="F20" s="34">
        <f t="shared" si="30"/>
        <v>37968859.931629092</v>
      </c>
      <c r="G20" s="34">
        <f t="shared" si="30"/>
        <v>39307195.640646711</v>
      </c>
      <c r="H20" s="34">
        <f t="shared" si="30"/>
        <v>40623733.681591347</v>
      </c>
      <c r="I20" s="34">
        <f t="shared" si="30"/>
        <v>41919262.191632196</v>
      </c>
      <c r="J20" s="34">
        <f t="shared" si="30"/>
        <v>43194548.794761762</v>
      </c>
      <c r="K20" s="34">
        <f t="shared" si="30"/>
        <v>44450341.136771992</v>
      </c>
      <c r="L20" s="34">
        <f t="shared" si="30"/>
        <v>45687367.406848639</v>
      </c>
      <c r="M20" s="34">
        <f t="shared" si="30"/>
        <v>46906336.846111998</v>
      </c>
      <c r="N20" s="34">
        <f t="shared" si="30"/>
        <v>48107940.243426591</v>
      </c>
      <c r="O20" s="34">
        <f t="shared" si="30"/>
        <v>49292850.418792337</v>
      </c>
      <c r="P20" s="34">
        <f t="shared" si="30"/>
        <v>50461722.694623873</v>
      </c>
      <c r="Q20" s="34">
        <f t="shared" si="30"/>
        <v>51615195.355216548</v>
      </c>
      <c r="R20" s="34">
        <f t="shared" si="30"/>
        <v>47014551.25370124</v>
      </c>
      <c r="S20" s="34">
        <f t="shared" si="30"/>
        <v>46947146.864082187</v>
      </c>
      <c r="T20" s="34">
        <f t="shared" si="30"/>
        <v>46901566.762480199</v>
      </c>
      <c r="U20" s="34">
        <f t="shared" si="30"/>
        <v>46877489.871453747</v>
      </c>
      <c r="V20" s="34">
        <f t="shared" si="30"/>
        <v>46874601.615451559</v>
      </c>
      <c r="W20" s="34">
        <f t="shared" si="30"/>
        <v>47458366.260478601</v>
      </c>
      <c r="X20" s="34">
        <f t="shared" si="30"/>
        <v>48047857.923759803</v>
      </c>
      <c r="Y20" s="34">
        <f t="shared" si="30"/>
        <v>48643084.092293188</v>
      </c>
      <c r="Z20" s="34">
        <f t="shared" si="30"/>
        <v>49244052.634943113</v>
      </c>
      <c r="AA20" s="34">
        <f t="shared" si="30"/>
        <v>49850771.80138889</v>
      </c>
      <c r="AB20" s="34">
        <f t="shared" si="30"/>
        <v>50463250.221100986</v>
      </c>
      <c r="AC20" s="34">
        <f t="shared" si="30"/>
        <v>51081496.902344853</v>
      </c>
      <c r="AD20" s="34">
        <f t="shared" si="30"/>
        <v>51705521.231212258</v>
      </c>
      <c r="AE20" s="34">
        <f t="shared" si="30"/>
        <v>52335332.9706797</v>
      </c>
      <c r="AF20" s="34">
        <f t="shared" si="30"/>
        <v>52970942.259694159</v>
      </c>
      <c r="AG20" s="34">
        <f t="shared" si="30"/>
        <v>56469078.753441036</v>
      </c>
      <c r="AH20" s="34">
        <f t="shared" si="30"/>
        <v>56652856.073114574</v>
      </c>
      <c r="AI20" s="34">
        <f t="shared" ref="AI20:BJ20" si="31">AI18+AI19</f>
        <v>56845846.013472259</v>
      </c>
      <c r="AJ20" s="34">
        <f t="shared" si="31"/>
        <v>57048036.935047865</v>
      </c>
      <c r="AK20" s="34">
        <f t="shared" si="31"/>
        <v>57259417.739841491</v>
      </c>
      <c r="AL20" s="34">
        <f t="shared" si="31"/>
        <v>57479977.869383782</v>
      </c>
      <c r="AM20" s="34">
        <f t="shared" si="31"/>
        <v>57709707.302835107</v>
      </c>
      <c r="AN20" s="34">
        <f t="shared" si="31"/>
        <v>57948596.555119157</v>
      </c>
      <c r="AO20" s="34">
        <f t="shared" si="31"/>
        <v>58196636.675091207</v>
      </c>
      <c r="AP20" s="34">
        <f t="shared" si="31"/>
        <v>58453819.243740499</v>
      </c>
      <c r="AQ20" s="34">
        <f t="shared" si="31"/>
        <v>59569244.333417147</v>
      </c>
      <c r="AR20" s="34">
        <f t="shared" si="31"/>
        <v>60691779.142615408</v>
      </c>
      <c r="AS20" s="34">
        <f t="shared" si="31"/>
        <v>61821468.988687485</v>
      </c>
      <c r="AT20" s="34">
        <f t="shared" si="31"/>
        <v>62958359.477838457</v>
      </c>
      <c r="AU20" s="34">
        <f t="shared" si="31"/>
        <v>64102496.506967217</v>
      </c>
      <c r="AV20" s="34">
        <f t="shared" si="31"/>
        <v>71702399.098894984</v>
      </c>
      <c r="AW20" s="34">
        <f t="shared" si="31"/>
        <v>72902270.636568397</v>
      </c>
      <c r="AX20" s="34">
        <f t="shared" si="31"/>
        <v>74109790.155422986</v>
      </c>
      <c r="AY20" s="34">
        <f t="shared" si="31"/>
        <v>75325006.403690666</v>
      </c>
      <c r="AZ20" s="34">
        <f t="shared" si="31"/>
        <v>76547968.440324873</v>
      </c>
      <c r="BA20" s="34">
        <f t="shared" si="31"/>
        <v>77778725.636980593</v>
      </c>
      <c r="BB20" s="34">
        <f t="shared" si="31"/>
        <v>79017327.680007726</v>
      </c>
      <c r="BC20" s="34">
        <f t="shared" si="31"/>
        <v>80263824.572457165</v>
      </c>
      <c r="BD20" s="34">
        <f t="shared" si="31"/>
        <v>81518266.63609907</v>
      </c>
      <c r="BE20" s="34">
        <f t="shared" si="31"/>
        <v>82780704.513454616</v>
      </c>
      <c r="BF20" s="34">
        <f t="shared" si="31"/>
        <v>84051189.169840455</v>
      </c>
      <c r="BG20" s="34">
        <f t="shared" si="31"/>
        <v>85329771.895426065</v>
      </c>
      <c r="BH20" s="34">
        <f t="shared" si="31"/>
        <v>86616504.307304591</v>
      </c>
      <c r="BI20" s="34">
        <f t="shared" si="31"/>
        <v>87911438.351576388</v>
      </c>
      <c r="BJ20" s="34">
        <f t="shared" si="31"/>
        <v>89214626.305446416</v>
      </c>
    </row>
    <row r="21" spans="1:63" x14ac:dyDescent="0.3">
      <c r="A21" s="27" t="s">
        <v>74</v>
      </c>
      <c r="B21" s="31"/>
      <c r="C21" s="31">
        <f t="shared" ref="C21:AH21" si="32">-$T$2*C20</f>
        <v>-9434341.2155030817</v>
      </c>
      <c r="D21" s="31">
        <f t="shared" si="32"/>
        <v>-9827366.8477105405</v>
      </c>
      <c r="E21" s="31">
        <f t="shared" si="32"/>
        <v>-10213608.942183319</v>
      </c>
      <c r="F21" s="31">
        <f t="shared" si="32"/>
        <v>-10593311.920924518</v>
      </c>
      <c r="G21" s="31">
        <f t="shared" si="32"/>
        <v>-10966707.583740434</v>
      </c>
      <c r="H21" s="31">
        <f t="shared" si="32"/>
        <v>-11334021.697163986</v>
      </c>
      <c r="I21" s="31">
        <f t="shared" si="32"/>
        <v>-11695474.151465384</v>
      </c>
      <c r="J21" s="31">
        <f t="shared" si="32"/>
        <v>-12051279.113738533</v>
      </c>
      <c r="K21" s="31">
        <f t="shared" si="32"/>
        <v>-12401645.177159388</v>
      </c>
      <c r="L21" s="31">
        <f t="shared" si="32"/>
        <v>-12746775.506510772</v>
      </c>
      <c r="M21" s="31">
        <f t="shared" si="32"/>
        <v>-13086867.980065249</v>
      </c>
      <c r="N21" s="31">
        <f t="shared" si="32"/>
        <v>-13422115.327916021</v>
      </c>
      <c r="O21" s="31">
        <f t="shared" si="32"/>
        <v>-13752705.266843064</v>
      </c>
      <c r="P21" s="31">
        <f t="shared" si="32"/>
        <v>-14078820.631800061</v>
      </c>
      <c r="Q21" s="31">
        <f t="shared" si="32"/>
        <v>-14400639.504105419</v>
      </c>
      <c r="R21" s="31">
        <f t="shared" si="32"/>
        <v>-13117059.799782647</v>
      </c>
      <c r="S21" s="31">
        <f t="shared" si="32"/>
        <v>-13098253.975078931</v>
      </c>
      <c r="T21" s="31">
        <f t="shared" si="32"/>
        <v>-13085537.126731977</v>
      </c>
      <c r="U21" s="31">
        <f t="shared" si="32"/>
        <v>-13078819.674135597</v>
      </c>
      <c r="V21" s="31">
        <f t="shared" si="32"/>
        <v>-13078013.850710986</v>
      </c>
      <c r="W21" s="31">
        <f t="shared" si="32"/>
        <v>-13240884.186673531</v>
      </c>
      <c r="X21" s="31">
        <f t="shared" si="32"/>
        <v>-13405352.360728987</v>
      </c>
      <c r="Y21" s="31">
        <f t="shared" si="32"/>
        <v>-13571420.461749801</v>
      </c>
      <c r="Z21" s="31">
        <f t="shared" si="32"/>
        <v>-13739090.685149129</v>
      </c>
      <c r="AA21" s="31">
        <f t="shared" si="32"/>
        <v>-13908365.332587501</v>
      </c>
      <c r="AB21" s="31">
        <f t="shared" si="32"/>
        <v>-14079246.811687177</v>
      </c>
      <c r="AC21" s="31">
        <f t="shared" si="32"/>
        <v>-14251737.635754215</v>
      </c>
      <c r="AD21" s="31">
        <f t="shared" si="32"/>
        <v>-14425840.423508221</v>
      </c>
      <c r="AE21" s="31">
        <f t="shared" si="32"/>
        <v>-14601557.898819638</v>
      </c>
      <c r="AF21" s="31">
        <f t="shared" si="32"/>
        <v>-14778892.890454672</v>
      </c>
      <c r="AG21" s="31">
        <f t="shared" si="32"/>
        <v>-15754872.97221005</v>
      </c>
      <c r="AH21" s="31">
        <f t="shared" si="32"/>
        <v>-15806146.844398968</v>
      </c>
      <c r="AI21" s="31">
        <f t="shared" ref="AI21:BJ21" si="33">-$T$2*AI20</f>
        <v>-15859991.037758762</v>
      </c>
      <c r="AJ21" s="31">
        <f t="shared" si="33"/>
        <v>-15916402.304878356</v>
      </c>
      <c r="AK21" s="31">
        <f t="shared" si="33"/>
        <v>-15975377.549415778</v>
      </c>
      <c r="AL21" s="31">
        <f t="shared" si="33"/>
        <v>-16036913.825558078</v>
      </c>
      <c r="AM21" s="31">
        <f t="shared" si="33"/>
        <v>-16101008.337490996</v>
      </c>
      <c r="AN21" s="31">
        <f t="shared" si="33"/>
        <v>-16167658.438878246</v>
      </c>
      <c r="AO21" s="31">
        <f t="shared" si="33"/>
        <v>-16236861.632350449</v>
      </c>
      <c r="AP21" s="31">
        <f t="shared" si="33"/>
        <v>-16308615.569003601</v>
      </c>
      <c r="AQ21" s="31">
        <f t="shared" si="33"/>
        <v>-16619819.169023385</v>
      </c>
      <c r="AR21" s="31">
        <f t="shared" si="33"/>
        <v>-16933006.380789701</v>
      </c>
      <c r="AS21" s="31">
        <f t="shared" si="33"/>
        <v>-17248189.847843811</v>
      </c>
      <c r="AT21" s="31">
        <f t="shared" si="33"/>
        <v>-17565382.294316933</v>
      </c>
      <c r="AU21" s="31">
        <f t="shared" si="33"/>
        <v>-17884596.525443856</v>
      </c>
      <c r="AV21" s="31">
        <f t="shared" si="33"/>
        <v>-20004969.348591704</v>
      </c>
      <c r="AW21" s="31">
        <f t="shared" si="33"/>
        <v>-20339733.507602584</v>
      </c>
      <c r="AX21" s="31">
        <f t="shared" si="33"/>
        <v>-20676631.453363016</v>
      </c>
      <c r="AY21" s="31">
        <f t="shared" si="33"/>
        <v>-21015676.786629699</v>
      </c>
      <c r="AZ21" s="31">
        <f t="shared" si="33"/>
        <v>-21356883.194850642</v>
      </c>
      <c r="BA21" s="31">
        <f t="shared" si="33"/>
        <v>-21700264.452717587</v>
      </c>
      <c r="BB21" s="31">
        <f t="shared" si="33"/>
        <v>-22045834.422722157</v>
      </c>
      <c r="BC21" s="31">
        <f t="shared" si="33"/>
        <v>-22393607.05571555</v>
      </c>
      <c r="BD21" s="31">
        <f t="shared" si="33"/>
        <v>-22743596.391471643</v>
      </c>
      <c r="BE21" s="31">
        <f t="shared" si="33"/>
        <v>-23095816.559253842</v>
      </c>
      <c r="BF21" s="31">
        <f t="shared" si="33"/>
        <v>-23450281.77838549</v>
      </c>
      <c r="BG21" s="31">
        <f t="shared" si="33"/>
        <v>-23807006.358823873</v>
      </c>
      <c r="BH21" s="31">
        <f t="shared" si="33"/>
        <v>-24166004.701737981</v>
      </c>
      <c r="BI21" s="31">
        <f t="shared" si="33"/>
        <v>-24527291.300089814</v>
      </c>
      <c r="BJ21" s="31">
        <f t="shared" si="33"/>
        <v>-24890880.739219554</v>
      </c>
    </row>
    <row r="22" spans="1:63" x14ac:dyDescent="0.3">
      <c r="A22" s="33" t="s">
        <v>75</v>
      </c>
      <c r="B22" s="34"/>
      <c r="C22" s="34">
        <f t="shared" ref="C22:AH22" si="34">C20+C21</f>
        <v>24380501.850816205</v>
      </c>
      <c r="D22" s="34">
        <f t="shared" si="34"/>
        <v>25396170.240857698</v>
      </c>
      <c r="E22" s="34">
        <f t="shared" si="34"/>
        <v>26394308.413312446</v>
      </c>
      <c r="F22" s="34">
        <f t="shared" si="34"/>
        <v>27375548.010704573</v>
      </c>
      <c r="G22" s="34">
        <f t="shared" si="34"/>
        <v>28340488.056906275</v>
      </c>
      <c r="H22" s="34">
        <f t="shared" si="34"/>
        <v>29289711.984427363</v>
      </c>
      <c r="I22" s="34">
        <f t="shared" si="34"/>
        <v>30223788.04016681</v>
      </c>
      <c r="J22" s="34">
        <f t="shared" si="34"/>
        <v>31143269.681023229</v>
      </c>
      <c r="K22" s="34">
        <f t="shared" si="34"/>
        <v>32048695.959612604</v>
      </c>
      <c r="L22" s="34">
        <f t="shared" si="34"/>
        <v>32940591.900337867</v>
      </c>
      <c r="M22" s="34">
        <f t="shared" si="34"/>
        <v>33819468.866046749</v>
      </c>
      <c r="N22" s="34">
        <f t="shared" si="34"/>
        <v>34685824.915510572</v>
      </c>
      <c r="O22" s="34">
        <f t="shared" si="34"/>
        <v>35540145.151949272</v>
      </c>
      <c r="P22" s="34">
        <f t="shared" si="34"/>
        <v>36382902.06282381</v>
      </c>
      <c r="Q22" s="34">
        <f t="shared" si="34"/>
        <v>37214555.851111129</v>
      </c>
      <c r="R22" s="34">
        <f t="shared" si="34"/>
        <v>33897491.453918591</v>
      </c>
      <c r="S22" s="34">
        <f t="shared" si="34"/>
        <v>33848892.889003254</v>
      </c>
      <c r="T22" s="34">
        <f t="shared" si="34"/>
        <v>33816029.635748222</v>
      </c>
      <c r="U22" s="34">
        <f t="shared" si="34"/>
        <v>33798670.197318152</v>
      </c>
      <c r="V22" s="34">
        <f t="shared" si="34"/>
        <v>33796587.764740571</v>
      </c>
      <c r="W22" s="34">
        <f t="shared" si="34"/>
        <v>34217482.073805071</v>
      </c>
      <c r="X22" s="34">
        <f t="shared" si="34"/>
        <v>34642505.563030817</v>
      </c>
      <c r="Y22" s="34">
        <f t="shared" si="34"/>
        <v>35071663.630543388</v>
      </c>
      <c r="Z22" s="34">
        <f t="shared" si="34"/>
        <v>35504961.94979398</v>
      </c>
      <c r="AA22" s="34">
        <f t="shared" si="34"/>
        <v>35942406.468801387</v>
      </c>
      <c r="AB22" s="34">
        <f t="shared" si="34"/>
        <v>36384003.409413807</v>
      </c>
      <c r="AC22" s="34">
        <f t="shared" si="34"/>
        <v>36829759.26659064</v>
      </c>
      <c r="AD22" s="34">
        <f t="shared" si="34"/>
        <v>37279680.807704039</v>
      </c>
      <c r="AE22" s="34">
        <f t="shared" si="34"/>
        <v>37733775.07186006</v>
      </c>
      <c r="AF22" s="34">
        <f t="shared" si="34"/>
        <v>38192049.369239487</v>
      </c>
      <c r="AG22" s="34">
        <f t="shared" si="34"/>
        <v>40714205.781230986</v>
      </c>
      <c r="AH22" s="34">
        <f t="shared" si="34"/>
        <v>40846709.228715606</v>
      </c>
      <c r="AI22" s="34">
        <f t="shared" ref="AI22:BJ22" si="35">AI20+AI21</f>
        <v>40985854.975713499</v>
      </c>
      <c r="AJ22" s="34">
        <f t="shared" si="35"/>
        <v>41131634.630169511</v>
      </c>
      <c r="AK22" s="34">
        <f t="shared" si="35"/>
        <v>41284040.190425709</v>
      </c>
      <c r="AL22" s="34">
        <f t="shared" si="35"/>
        <v>41443064.043825701</v>
      </c>
      <c r="AM22" s="34">
        <f t="shared" si="35"/>
        <v>41608698.965344109</v>
      </c>
      <c r="AN22" s="34">
        <f t="shared" si="35"/>
        <v>41780938.116240911</v>
      </c>
      <c r="AO22" s="34">
        <f t="shared" si="35"/>
        <v>41959775.042740762</v>
      </c>
      <c r="AP22" s="34">
        <f t="shared" si="35"/>
        <v>42145203.674736902</v>
      </c>
      <c r="AQ22" s="34">
        <f t="shared" si="35"/>
        <v>42949425.16439376</v>
      </c>
      <c r="AR22" s="34">
        <f t="shared" si="35"/>
        <v>43758772.761825711</v>
      </c>
      <c r="AS22" s="34">
        <f t="shared" si="35"/>
        <v>44573279.140843675</v>
      </c>
      <c r="AT22" s="34">
        <f t="shared" si="35"/>
        <v>45392977.183521524</v>
      </c>
      <c r="AU22" s="34">
        <f t="shared" si="35"/>
        <v>46217899.981523365</v>
      </c>
      <c r="AV22" s="34">
        <f t="shared" si="35"/>
        <v>51697429.750303283</v>
      </c>
      <c r="AW22" s="34">
        <f t="shared" si="35"/>
        <v>52562537.12896581</v>
      </c>
      <c r="AX22" s="34">
        <f t="shared" si="35"/>
        <v>53433158.702059969</v>
      </c>
      <c r="AY22" s="34">
        <f t="shared" si="35"/>
        <v>54309329.617060967</v>
      </c>
      <c r="AZ22" s="34">
        <f t="shared" si="35"/>
        <v>55191085.245474234</v>
      </c>
      <c r="BA22" s="34">
        <f t="shared" si="35"/>
        <v>56078461.184263006</v>
      </c>
      <c r="BB22" s="34">
        <f t="shared" si="35"/>
        <v>56971493.257285565</v>
      </c>
      <c r="BC22" s="34">
        <f t="shared" si="35"/>
        <v>57870217.516741619</v>
      </c>
      <c r="BD22" s="34">
        <f t="shared" si="35"/>
        <v>58774670.244627431</v>
      </c>
      <c r="BE22" s="34">
        <f t="shared" si="35"/>
        <v>59684887.954200774</v>
      </c>
      <c r="BF22" s="34">
        <f t="shared" si="35"/>
        <v>60600907.391454965</v>
      </c>
      <c r="BG22" s="34">
        <f t="shared" si="35"/>
        <v>61522765.536602192</v>
      </c>
      <c r="BH22" s="34">
        <f t="shared" si="35"/>
        <v>62450499.605566606</v>
      </c>
      <c r="BI22" s="34">
        <f t="shared" si="35"/>
        <v>63384147.051486574</v>
      </c>
      <c r="BJ22" s="34">
        <f t="shared" si="35"/>
        <v>64323745.566226862</v>
      </c>
    </row>
    <row r="23" spans="1:63" x14ac:dyDescent="0.3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1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</row>
    <row r="24" spans="1:63" x14ac:dyDescent="0.3">
      <c r="A24" s="33" t="s">
        <v>76</v>
      </c>
      <c r="B24" s="34">
        <f>N2</f>
        <v>2469290000</v>
      </c>
      <c r="C24" s="34">
        <f t="shared" ref="C24:AH24" si="36">(ABS(C16)+C17)/(1+$V$2)^C6</f>
        <v>96597957.484245405</v>
      </c>
      <c r="D24" s="34">
        <f t="shared" si="36"/>
        <v>89843275.252707198</v>
      </c>
      <c r="E24" s="34">
        <f t="shared" si="36"/>
        <v>83561074.708430126</v>
      </c>
      <c r="F24" s="34">
        <f t="shared" si="36"/>
        <v>77718298.921622247</v>
      </c>
      <c r="G24" s="34">
        <f t="shared" si="36"/>
        <v>72284204.12651509</v>
      </c>
      <c r="H24" s="34">
        <f t="shared" si="36"/>
        <v>67230197.840493366</v>
      </c>
      <c r="I24" s="34">
        <f t="shared" si="36"/>
        <v>62529688.312845938</v>
      </c>
      <c r="J24" s="34">
        <f t="shared" si="36"/>
        <v>58157944.510168932</v>
      </c>
      <c r="K24" s="34">
        <f t="shared" si="36"/>
        <v>54091965.900954314</v>
      </c>
      <c r="L24" s="34">
        <f t="shared" si="36"/>
        <v>50310361.353515081</v>
      </c>
      <c r="M24" s="34">
        <f t="shared" si="36"/>
        <v>46793236.509402141</v>
      </c>
      <c r="N24" s="34">
        <f t="shared" si="36"/>
        <v>43522089.03911297</v>
      </c>
      <c r="O24" s="34">
        <f t="shared" si="36"/>
        <v>40479711.228411272</v>
      </c>
      <c r="P24" s="34">
        <f t="shared" si="36"/>
        <v>37650099.38219092</v>
      </c>
      <c r="Q24" s="34">
        <f t="shared" si="36"/>
        <v>35018369.568727389</v>
      </c>
      <c r="R24" s="34">
        <f t="shared" si="36"/>
        <v>33118420.799356923</v>
      </c>
      <c r="S24" s="34">
        <f t="shared" si="36"/>
        <v>31321563.437564179</v>
      </c>
      <c r="T24" s="34">
        <f t="shared" si="36"/>
        <v>29622202.153158516</v>
      </c>
      <c r="U24" s="34">
        <f t="shared" si="36"/>
        <v>28015046.568984974</v>
      </c>
      <c r="V24" s="34">
        <f t="shared" si="36"/>
        <v>26495093.391836736</v>
      </c>
      <c r="W24" s="34">
        <f t="shared" si="36"/>
        <v>109866000.15385048</v>
      </c>
      <c r="X24" s="34">
        <f t="shared" si="36"/>
        <v>23698123.87452551</v>
      </c>
      <c r="Y24" s="34">
        <f t="shared" si="36"/>
        <v>22412400.334529206</v>
      </c>
      <c r="Z24" s="34">
        <f t="shared" si="36"/>
        <v>21196437.689477306</v>
      </c>
      <c r="AA24" s="34">
        <f t="shared" si="36"/>
        <v>20046450.611063201</v>
      </c>
      <c r="AB24" s="34">
        <f t="shared" si="36"/>
        <v>18958859.179673865</v>
      </c>
      <c r="AC24" s="34">
        <f t="shared" si="36"/>
        <v>17930277.737468265</v>
      </c>
      <c r="AD24" s="34">
        <f t="shared" si="36"/>
        <v>16957504.34639167</v>
      </c>
      <c r="AE24" s="34">
        <f t="shared" si="36"/>
        <v>16037510.818295268</v>
      </c>
      <c r="AF24" s="34">
        <f t="shared" si="36"/>
        <v>15167433.286112178</v>
      </c>
      <c r="AG24" s="34">
        <f t="shared" si="36"/>
        <v>14445174.558202069</v>
      </c>
      <c r="AH24" s="34">
        <f t="shared" si="36"/>
        <v>13757309.103049589</v>
      </c>
      <c r="AI24" s="34">
        <f t="shared" ref="AI24:BJ24" si="37">(ABS(AI16)+AI17)/(1+$V$2)^AI6</f>
        <v>13102199.145761514</v>
      </c>
      <c r="AJ24" s="34">
        <f t="shared" si="37"/>
        <v>12478284.900725251</v>
      </c>
      <c r="AK24" s="34">
        <f t="shared" si="37"/>
        <v>11884080.857833572</v>
      </c>
      <c r="AL24" s="34">
        <f t="shared" si="37"/>
        <v>11318172.245555785</v>
      </c>
      <c r="AM24" s="34">
        <f t="shared" si="37"/>
        <v>10779211.662434079</v>
      </c>
      <c r="AN24" s="34">
        <f t="shared" si="37"/>
        <v>10265915.868984839</v>
      </c>
      <c r="AO24" s="34">
        <f t="shared" si="37"/>
        <v>9777062.7323665116</v>
      </c>
      <c r="AP24" s="34">
        <f t="shared" si="37"/>
        <v>9311488.3165395353</v>
      </c>
      <c r="AQ24" s="34">
        <f t="shared" si="37"/>
        <v>39175498.777066186</v>
      </c>
      <c r="AR24" s="34">
        <f t="shared" si="37"/>
        <v>8445794.3914190792</v>
      </c>
      <c r="AS24" s="34">
        <f t="shared" si="37"/>
        <v>8043613.7061134083</v>
      </c>
      <c r="AT24" s="34">
        <f t="shared" si="37"/>
        <v>7660584.4820127701</v>
      </c>
      <c r="AU24" s="34">
        <f t="shared" si="37"/>
        <v>7295794.7447740659</v>
      </c>
      <c r="AV24" s="34">
        <f t="shared" si="37"/>
        <v>6948375.9474038733</v>
      </c>
      <c r="AW24" s="34">
        <f t="shared" si="37"/>
        <v>6617500.9022894017</v>
      </c>
      <c r="AX24" s="34">
        <f t="shared" si="37"/>
        <v>6302381.8117041923</v>
      </c>
      <c r="AY24" s="34">
        <f t="shared" si="37"/>
        <v>6002268.3920992306</v>
      </c>
      <c r="AZ24" s="34">
        <f t="shared" si="37"/>
        <v>5716446.0877135526</v>
      </c>
      <c r="BA24" s="34">
        <f t="shared" si="37"/>
        <v>5444234.3692510026</v>
      </c>
      <c r="BB24" s="34">
        <f t="shared" si="37"/>
        <v>5184985.1135723833</v>
      </c>
      <c r="BC24" s="34">
        <f t="shared" si="37"/>
        <v>4938081.0605451278</v>
      </c>
      <c r="BD24" s="34">
        <f t="shared" si="37"/>
        <v>4702934.3433763124</v>
      </c>
      <c r="BE24" s="34">
        <f t="shared" si="37"/>
        <v>4478985.0889298199</v>
      </c>
      <c r="BF24" s="34">
        <f t="shared" si="37"/>
        <v>4265700.0846950673</v>
      </c>
      <c r="BG24" s="34">
        <f t="shared" si="37"/>
        <v>4062571.509233397</v>
      </c>
      <c r="BH24" s="34">
        <f t="shared" si="37"/>
        <v>3869115.7230794257</v>
      </c>
      <c r="BI24" s="34">
        <f t="shared" si="37"/>
        <v>3684872.1172185005</v>
      </c>
      <c r="BJ24" s="34">
        <f t="shared" si="37"/>
        <v>3509402.0163985724</v>
      </c>
      <c r="BK24" s="22">
        <f>SUM(B24:BJ24)</f>
        <v>4079389838.5819783</v>
      </c>
    </row>
    <row r="25" spans="1:63" x14ac:dyDescent="0.3">
      <c r="A25" s="33" t="s">
        <v>77</v>
      </c>
      <c r="B25" s="36"/>
      <c r="C25" s="36">
        <f>(($B$3+$B$2+'Output Produzione'!$F$3+'Output Produzione'!$G$3)*1000)/((1+$V$2)^C6)</f>
        <v>1379115005.6697011</v>
      </c>
      <c r="D25" s="36">
        <f>(($B$3+$B$2+'Output Produzione'!$F$3+'Output Produzione'!$G$3)/(1+$V$2)^D6)*1000</f>
        <v>1313442862.5425725</v>
      </c>
      <c r="E25" s="36">
        <f>(($B$3+$B$2+'Output Produzione'!$F$3+'Output Produzione'!$G$3)/(1+$V$2)^E6)*1000</f>
        <v>1250897964.3262594</v>
      </c>
      <c r="F25" s="36">
        <f>(($B$3+$B$2+'Output Produzione'!$F$3+'Output Produzione'!$G$3)/(1+$V$2)^F6)*1000</f>
        <v>1191331394.5964377</v>
      </c>
      <c r="G25" s="36">
        <f>(($B$3+$B$2+'Output Produzione'!$F$3+'Output Produzione'!$G$3)/(1+$V$2)^G6)*1000</f>
        <v>1134601328.1870832</v>
      </c>
      <c r="H25" s="36">
        <f>(($B$3+$B$2+'Output Produzione'!$F$3+'Output Produzione'!$G$3)/(1+$V$2)^H6)*1000</f>
        <v>1080572693.5115082</v>
      </c>
      <c r="I25" s="36">
        <f>(($B$3+$B$2+'Output Produzione'!$F$3+'Output Produzione'!$G$3)/(1+$V$2)^I6)*1000</f>
        <v>1029116850.9633409</v>
      </c>
      <c r="J25" s="36">
        <f>(($B$3+$B$2+'Output Produzione'!$F$3+'Output Produzione'!$G$3)/(1+$V$2)^J6)*1000</f>
        <v>980111286.63175333</v>
      </c>
      <c r="K25" s="36">
        <f>(($B$3+$B$2+'Output Produzione'!$F$3+'Output Produzione'!$G$3)/(1+$V$2)^K6)*1000</f>
        <v>933439320.60166967</v>
      </c>
      <c r="L25" s="36">
        <f>(($B$3+$B$2+'Output Produzione'!$F$3+'Output Produzione'!$G$3)/(1+$V$2)^L6)*1000</f>
        <v>888989829.14444733</v>
      </c>
      <c r="M25" s="36">
        <f>(($B$3+$B$2+'Output Produzione'!$F$3+'Output Produzione'!$G$3)/(1+$V$2)^M6)*1000</f>
        <v>846656980.13756895</v>
      </c>
      <c r="N25" s="36">
        <f>(($B$3+$B$2+'Output Produzione'!$F$3+'Output Produzione'!$G$3)/(1+$V$2)^N6)*1000</f>
        <v>806339981.08339906</v>
      </c>
      <c r="O25" s="36">
        <f>(($B$3+$B$2+'Output Produzione'!$F$3+'Output Produzione'!$G$3)/(1+$V$2)^O6)*1000</f>
        <v>767942839.12704659</v>
      </c>
      <c r="P25" s="36">
        <f>(($B$3+$B$2+'Output Produzione'!$F$3+'Output Produzione'!$G$3)/(1+$V$2)^P6)*1000</f>
        <v>731374132.50194931</v>
      </c>
      <c r="Q25" s="36">
        <f>(($B$3+$B$2+'Output Produzione'!$F$3+'Output Produzione'!$G$3)/(1+$V$2)^Q6)*1000</f>
        <v>696546792.85899913</v>
      </c>
      <c r="R25" s="36">
        <f>(($C$3+$C$2+'Output Produzione'!$F$17+'Output Produzione'!$G$17)/(1+$V$2)^R6)*1000</f>
        <v>643364355.02082729</v>
      </c>
      <c r="S25" s="36">
        <f>(($C$3+$C$2+'Output Produzione'!$F$17+'Output Produzione'!$G$17)/(1+$V$2)^S6)*1000</f>
        <v>612727957.16269255</v>
      </c>
      <c r="T25" s="36">
        <f>(($C$3+$C$2+'Output Produzione'!$F$17+'Output Produzione'!$G$17)/(1+$V$2)^T6)*1000</f>
        <v>583550435.39304054</v>
      </c>
      <c r="U25" s="36">
        <f>(($C$3+$C$2+'Output Produzione'!$F$17+'Output Produzione'!$G$17)/(1+$V$2)^U6)*1000</f>
        <v>555762319.42194343</v>
      </c>
      <c r="V25" s="36">
        <f>(($C$3+$C$2+'Output Produzione'!$F$17+'Output Produzione'!$G$17)/(1+$V$2)^V6)*1000</f>
        <v>529297447.06851757</v>
      </c>
      <c r="W25" s="36">
        <f>(($C$3+$C$2+'Output Produzione'!$F$17+'Output Produzione'!$G$17)/(1+$V$2)^W6)*1000</f>
        <v>504092806.73192149</v>
      </c>
      <c r="X25" s="36">
        <f>(($C$3+$C$2+'Output Produzione'!$F$17+'Output Produzione'!$G$17)/(1+$V$2)^X6)*1000</f>
        <v>480088387.36373478</v>
      </c>
      <c r="Y25" s="36">
        <f>(($C$3+$C$2+'Output Produzione'!$F$17+'Output Produzione'!$G$17)/(1+$V$2)^Y6)*1000</f>
        <v>457227035.58450919</v>
      </c>
      <c r="Z25" s="36">
        <f>(($C$3+$C$2+'Output Produzione'!$F$17+'Output Produzione'!$G$17)/(1+$V$2)^Z6)*1000</f>
        <v>435454319.60429454</v>
      </c>
      <c r="AA25" s="36">
        <f>(($C$3+$C$2+'Output Produzione'!$F$17+'Output Produzione'!$G$17)/(1+$V$2)^AA6)*1000</f>
        <v>414718399.62313765</v>
      </c>
      <c r="AB25" s="36">
        <f>(($C$3+$C$2+'Output Produzione'!$F$17+'Output Produzione'!$G$17)/(1+$V$2)^AB6)*1000</f>
        <v>394969904.4029882</v>
      </c>
      <c r="AC25" s="36">
        <f>(($C$3+$C$2+'Output Produzione'!$F$17+'Output Produzione'!$G$17)/(1+$V$2)^AC6)*1000</f>
        <v>376161813.71713161</v>
      </c>
      <c r="AD25" s="36">
        <f>(($C$3+$C$2+'Output Produzione'!$F$17+'Output Produzione'!$G$17)/(1+$V$2)^AD6)*1000</f>
        <v>358249346.39726824</v>
      </c>
      <c r="AE25" s="36">
        <f>(($C$3+$C$2+'Output Produzione'!$F$17+'Output Produzione'!$G$17)/(1+$V$2)^AE6)*1000</f>
        <v>341189853.71168399</v>
      </c>
      <c r="AF25" s="36">
        <f>(($C$3+$C$2+'Output Produzione'!$F$17+'Output Produzione'!$G$17)/(1+$V$2)^AF6)*1000</f>
        <v>324942717.82065153</v>
      </c>
      <c r="AG25" s="36">
        <f>(($D$3+$D$2+'Output Produzione'!$F$31+'Output Produzione'!$G$31)/(1+$V$2)^AG6)*1000</f>
        <v>310751301.36254126</v>
      </c>
      <c r="AH25" s="36">
        <f>(($D$3+$D$2+'Output Produzione'!$F$31+'Output Produzione'!$G$31)/(1+$V$2)^AH6)*1000</f>
        <v>295953620.34527743</v>
      </c>
      <c r="AI25" s="36">
        <f>(($D$3+$D$2+'Output Produzione'!$F$31+'Output Produzione'!$G$31)/(1+$V$2)^AI6)*1000</f>
        <v>281860590.80502611</v>
      </c>
      <c r="AJ25" s="36">
        <f>(($D$3+$D$2+'Output Produzione'!$F$31+'Output Produzione'!$G$31)/(1+$V$2)^AJ6)*1000</f>
        <v>268438657.90954864</v>
      </c>
      <c r="AK25" s="36">
        <f>(($D$3+$D$2+'Output Produzione'!$F$31+'Output Produzione'!$G$31)/(1+$V$2)^AK6)*1000</f>
        <v>255655864.67576063</v>
      </c>
      <c r="AL25" s="36">
        <f>(($D$3+$D$2+'Output Produzione'!$F$31+'Output Produzione'!$G$31)/(1+$V$2)^AL6)*1000</f>
        <v>243481775.88167682</v>
      </c>
      <c r="AM25" s="36">
        <f>(($D$3+$D$2+'Output Produzione'!$F$31+'Output Produzione'!$G$31)/(1+$V$2)^AM6)*1000</f>
        <v>231887405.60159692</v>
      </c>
      <c r="AN25" s="36">
        <f>(($D$3+$D$2+'Output Produzione'!$F$31+'Output Produzione'!$G$31)/(1+$V$2)^AN6)*1000</f>
        <v>220845148.19199711</v>
      </c>
      <c r="AO25" s="36">
        <f>(($D$3+$D$2+'Output Produzione'!$F$31+'Output Produzione'!$G$31)/(1+$V$2)^AO6)*1000</f>
        <v>210328712.56380674</v>
      </c>
      <c r="AP25" s="36">
        <f>(($D$3+$D$2+'Output Produzione'!$F$31+'Output Produzione'!$G$31)/(1+$V$2)^AP6)*1000</f>
        <v>200313059.58457789</v>
      </c>
      <c r="AQ25" s="36">
        <f>(($D$3+$D$2+'Output Produzione'!$F$31+'Output Produzione'!$G$31)/(1+$V$2)^AQ6)*1000</f>
        <v>190774342.46150273</v>
      </c>
      <c r="AR25" s="36">
        <f>(($D$3+$D$2+'Output Produzione'!$F$31+'Output Produzione'!$G$31)/(1+$V$2)^AR6)*1000</f>
        <v>181689849.96333593</v>
      </c>
      <c r="AS25" s="36">
        <f>(($D$3+$D$2+'Output Produzione'!$F$31+'Output Produzione'!$G$31)/(1+$V$2)^AS6)*1000</f>
        <v>173037952.3460342</v>
      </c>
      <c r="AT25" s="36">
        <f>(($D$3+$D$2+'Output Produzione'!$F$31+'Output Produzione'!$G$31)/(1+$V$2)^AT6)*1000</f>
        <v>164798049.85336593</v>
      </c>
      <c r="AU25" s="36">
        <f>(($D$3+$D$2+'Output Produzione'!$F$31+'Output Produzione'!$G$31)/(1+$V$2)^AU6)*1000</f>
        <v>156950523.66987228</v>
      </c>
      <c r="AV25" s="36">
        <f>(($E$3+$E$2+'Output Produzione'!$F$45+'Output Produzione'!$G$45)/(1+$V$2)^AV6)*1000</f>
        <v>153054778.44619045</v>
      </c>
      <c r="AW25" s="36">
        <f>(($E$3+$E$2+'Output Produzione'!$F$45+'Output Produzione'!$G$45)/(1+$V$2)^AW6)*1000</f>
        <v>145766455.66303846</v>
      </c>
      <c r="AX25" s="36">
        <f>(($E$3+$E$2+'Output Produzione'!$F$45+'Output Produzione'!$G$45)/(1+$V$2)^AX6)*1000</f>
        <v>138825195.86956048</v>
      </c>
      <c r="AY25" s="36">
        <f>(($E$3+$E$2+'Output Produzione'!$F$45+'Output Produzione'!$G$45)/(1+$V$2)^AY6)*1000</f>
        <v>132214472.25672422</v>
      </c>
      <c r="AZ25" s="36">
        <f>(($E$3+$E$2+'Output Produzione'!$F$45+'Output Produzione'!$G$45)/(1+$V$2)^AZ6)*1000</f>
        <v>125918545.00640403</v>
      </c>
      <c r="BA25" s="36">
        <f>(($E$3+$E$2+'Output Produzione'!$F$45+'Output Produzione'!$G$45)/(1+$V$2)^BA6)*1000</f>
        <v>119922423.8156229</v>
      </c>
      <c r="BB25" s="36">
        <f>(($E$3+$E$2+'Output Produzione'!$F$45+'Output Produzione'!$G$45)/(1+$V$2)^BB6)*1000</f>
        <v>114211832.20535514</v>
      </c>
      <c r="BC25" s="36">
        <f>(($E$3+$E$2+'Output Produzione'!$F$45+'Output Produzione'!$G$45)/(1+$V$2)^BC6)*1000</f>
        <v>108773173.52890967</v>
      </c>
      <c r="BD25" s="36">
        <f>(($E$3+$E$2+'Output Produzione'!$F$45+'Output Produzione'!$G$45)/(1+$V$2)^BD6)*1000</f>
        <v>103593498.59896159</v>
      </c>
      <c r="BE25" s="36">
        <f>(($E$3+$E$2+'Output Produzione'!$F$45+'Output Produzione'!$G$45)/(1+$V$2)^BE6)*1000</f>
        <v>98660474.856153876</v>
      </c>
      <c r="BF25" s="36">
        <f>(($E$3+$E$2+'Output Produzione'!$F$45+'Output Produzione'!$G$45)/(1+$V$2)^BF6)*1000</f>
        <v>93962357.00586085</v>
      </c>
      <c r="BG25" s="36">
        <f>(($E$3+$E$2+'Output Produzione'!$F$45+'Output Produzione'!$G$45)/(1+$V$2)^BG6)*1000</f>
        <v>89487959.053200796</v>
      </c>
      <c r="BH25" s="36">
        <f>(($E$3+$E$2+'Output Produzione'!$F$45+'Output Produzione'!$G$45)/(1+$V$2)^BH6)*1000</f>
        <v>85226627.669715047</v>
      </c>
      <c r="BI25" s="36">
        <f>(($E$3+$E$2+'Output Produzione'!$F$45+'Output Produzione'!$G$45)/(1+$V$2)^BI6)*1000</f>
        <v>81168216.828300029</v>
      </c>
      <c r="BJ25" s="36">
        <f>(($E$3+$E$2+'Output Produzione'!$F$45+'Output Produzione'!$G$45)/(1+$V$2)^BJ6)*1000</f>
        <v>77303063.646000057</v>
      </c>
      <c r="BK25" s="26">
        <f>SUM(C25:BJ25)</f>
        <v>27097132290.574009</v>
      </c>
    </row>
    <row r="26" spans="1:63" x14ac:dyDescent="0.3">
      <c r="A26" s="33" t="s">
        <v>78</v>
      </c>
      <c r="B26" s="37">
        <f>BK24/BK25</f>
        <v>0.15054692115892399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</row>
    <row r="27" spans="1:63" x14ac:dyDescent="0.3">
      <c r="A27" s="30"/>
      <c r="B27" s="72" t="s">
        <v>49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 t="s">
        <v>50</v>
      </c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 t="s">
        <v>51</v>
      </c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 t="s">
        <v>52</v>
      </c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28" t="s">
        <v>59</v>
      </c>
    </row>
    <row r="28" spans="1:63" x14ac:dyDescent="0.3">
      <c r="A28" s="33"/>
      <c r="B28" s="27">
        <v>0</v>
      </c>
      <c r="C28" s="27">
        <v>1</v>
      </c>
      <c r="D28" s="27">
        <v>2</v>
      </c>
      <c r="E28" s="27">
        <v>3</v>
      </c>
      <c r="F28" s="27">
        <v>4</v>
      </c>
      <c r="G28" s="27">
        <v>5</v>
      </c>
      <c r="H28" s="27">
        <v>6</v>
      </c>
      <c r="I28" s="27">
        <v>7</v>
      </c>
      <c r="J28" s="27">
        <v>8</v>
      </c>
      <c r="K28" s="27">
        <v>9</v>
      </c>
      <c r="L28" s="27">
        <v>10</v>
      </c>
      <c r="M28" s="27">
        <v>11</v>
      </c>
      <c r="N28" s="27">
        <v>12</v>
      </c>
      <c r="O28" s="27">
        <v>13</v>
      </c>
      <c r="P28" s="27">
        <v>14</v>
      </c>
      <c r="Q28" s="27">
        <v>15</v>
      </c>
      <c r="R28" s="27">
        <v>16</v>
      </c>
      <c r="S28" s="27">
        <v>17</v>
      </c>
      <c r="T28" s="27">
        <v>18</v>
      </c>
      <c r="U28" s="27">
        <v>19</v>
      </c>
      <c r="V28" s="27">
        <v>20</v>
      </c>
      <c r="W28" s="27">
        <v>21</v>
      </c>
      <c r="X28" s="27">
        <v>22</v>
      </c>
      <c r="Y28" s="27">
        <v>23</v>
      </c>
      <c r="Z28" s="27">
        <v>24</v>
      </c>
      <c r="AA28" s="27">
        <v>25</v>
      </c>
      <c r="AB28" s="27">
        <v>26</v>
      </c>
      <c r="AC28" s="27">
        <v>27</v>
      </c>
      <c r="AD28" s="27">
        <v>28</v>
      </c>
      <c r="AE28" s="27">
        <v>29</v>
      </c>
      <c r="AF28" s="27">
        <v>30</v>
      </c>
      <c r="AG28" s="27">
        <v>31</v>
      </c>
      <c r="AH28" s="27">
        <v>32</v>
      </c>
      <c r="AI28" s="27">
        <v>33</v>
      </c>
      <c r="AJ28" s="27">
        <v>34</v>
      </c>
      <c r="AK28" s="27">
        <v>35</v>
      </c>
      <c r="AL28" s="27">
        <v>36</v>
      </c>
      <c r="AM28" s="27">
        <v>37</v>
      </c>
      <c r="AN28" s="27">
        <v>38</v>
      </c>
      <c r="AO28" s="27">
        <v>39</v>
      </c>
      <c r="AP28" s="27">
        <v>40</v>
      </c>
      <c r="AQ28" s="27">
        <v>41</v>
      </c>
      <c r="AR28" s="27">
        <v>42</v>
      </c>
      <c r="AS28" s="27">
        <v>43</v>
      </c>
      <c r="AT28" s="27">
        <v>44</v>
      </c>
      <c r="AU28" s="27">
        <v>45</v>
      </c>
      <c r="AV28" s="27">
        <v>46</v>
      </c>
      <c r="AW28" s="27">
        <v>47</v>
      </c>
      <c r="AX28" s="27">
        <v>48</v>
      </c>
      <c r="AY28" s="27">
        <v>49</v>
      </c>
      <c r="AZ28" s="27">
        <v>50</v>
      </c>
      <c r="BA28" s="27">
        <v>51</v>
      </c>
      <c r="BB28" s="27">
        <v>52</v>
      </c>
      <c r="BC28" s="27">
        <v>53</v>
      </c>
      <c r="BD28" s="27">
        <v>54</v>
      </c>
      <c r="BE28" s="27">
        <v>55</v>
      </c>
      <c r="BF28" s="27">
        <v>56</v>
      </c>
      <c r="BG28" s="27">
        <v>57</v>
      </c>
      <c r="BH28" s="27">
        <v>58</v>
      </c>
      <c r="BI28" s="27">
        <v>59</v>
      </c>
      <c r="BJ28" s="27">
        <v>60</v>
      </c>
    </row>
    <row r="29" spans="1:63" x14ac:dyDescent="0.3">
      <c r="A29" s="29" t="s">
        <v>79</v>
      </c>
      <c r="B29" s="29">
        <v>2025</v>
      </c>
      <c r="C29" s="29">
        <v>2026</v>
      </c>
      <c r="D29" s="29">
        <v>2027</v>
      </c>
      <c r="E29" s="29">
        <v>2028</v>
      </c>
      <c r="F29" s="29">
        <v>2029</v>
      </c>
      <c r="G29" s="29">
        <v>2030</v>
      </c>
      <c r="H29" s="29">
        <v>2031</v>
      </c>
      <c r="I29" s="29">
        <v>2032</v>
      </c>
      <c r="J29" s="29">
        <v>2033</v>
      </c>
      <c r="K29" s="29">
        <v>2034</v>
      </c>
      <c r="L29" s="29">
        <v>2035</v>
      </c>
      <c r="M29" s="29">
        <v>2036</v>
      </c>
      <c r="N29" s="29">
        <v>2037</v>
      </c>
      <c r="O29" s="29">
        <v>2038</v>
      </c>
      <c r="P29" s="29">
        <v>2039</v>
      </c>
      <c r="Q29" s="29">
        <v>2040</v>
      </c>
      <c r="R29" s="29">
        <v>2041</v>
      </c>
      <c r="S29" s="29">
        <v>2042</v>
      </c>
      <c r="T29" s="29">
        <v>2043</v>
      </c>
      <c r="U29" s="29">
        <v>2044</v>
      </c>
      <c r="V29" s="29">
        <v>2045</v>
      </c>
      <c r="W29" s="29">
        <v>2046</v>
      </c>
      <c r="X29" s="29">
        <v>2047</v>
      </c>
      <c r="Y29" s="29">
        <v>2048</v>
      </c>
      <c r="Z29" s="29">
        <v>2049</v>
      </c>
      <c r="AA29" s="29">
        <v>2050</v>
      </c>
      <c r="AB29" s="29">
        <v>2051</v>
      </c>
      <c r="AC29" s="29">
        <v>2052</v>
      </c>
      <c r="AD29" s="29">
        <v>2053</v>
      </c>
      <c r="AE29" s="29">
        <v>2054</v>
      </c>
      <c r="AF29" s="29">
        <v>2055</v>
      </c>
      <c r="AG29" s="29">
        <v>2056</v>
      </c>
      <c r="AH29" s="29">
        <v>2057</v>
      </c>
      <c r="AI29" s="29">
        <v>2058</v>
      </c>
      <c r="AJ29" s="29">
        <v>2059</v>
      </c>
      <c r="AK29" s="29">
        <v>2060</v>
      </c>
      <c r="AL29" s="29">
        <v>2061</v>
      </c>
      <c r="AM29" s="29">
        <v>2062</v>
      </c>
      <c r="AN29" s="29">
        <v>2063</v>
      </c>
      <c r="AO29" s="29">
        <v>2064</v>
      </c>
      <c r="AP29" s="29">
        <v>2065</v>
      </c>
      <c r="AQ29" s="29">
        <v>2066</v>
      </c>
      <c r="AR29" s="29">
        <v>2067</v>
      </c>
      <c r="AS29" s="29">
        <v>2068</v>
      </c>
      <c r="AT29" s="29">
        <v>2069</v>
      </c>
      <c r="AU29" s="29">
        <v>2070</v>
      </c>
      <c r="AV29" s="29">
        <v>2071</v>
      </c>
      <c r="AW29" s="29">
        <v>2072</v>
      </c>
      <c r="AX29" s="29">
        <v>2073</v>
      </c>
      <c r="AY29" s="29">
        <v>2074</v>
      </c>
      <c r="AZ29" s="29">
        <v>2075</v>
      </c>
      <c r="BA29" s="29">
        <v>2076</v>
      </c>
      <c r="BB29" s="29">
        <v>2077</v>
      </c>
      <c r="BC29" s="29">
        <v>2078</v>
      </c>
      <c r="BD29" s="29">
        <v>2079</v>
      </c>
      <c r="BE29" s="29">
        <v>2080</v>
      </c>
      <c r="BF29" s="29">
        <v>2081</v>
      </c>
      <c r="BG29" s="29">
        <v>2082</v>
      </c>
      <c r="BH29" s="29">
        <v>2083</v>
      </c>
      <c r="BI29" s="29">
        <v>2084</v>
      </c>
      <c r="BJ29" s="29">
        <v>2085</v>
      </c>
    </row>
    <row r="30" spans="1:63" x14ac:dyDescent="0.3">
      <c r="A30" s="33" t="s">
        <v>71</v>
      </c>
      <c r="B30" s="38"/>
      <c r="C30" s="39">
        <f t="shared" ref="C30:AH30" si="38">C18</f>
        <v>84804343.066319287</v>
      </c>
      <c r="D30" s="39">
        <f t="shared" si="38"/>
        <v>86213037.08856824</v>
      </c>
      <c r="E30" s="39">
        <f t="shared" si="38"/>
        <v>87597417.355495766</v>
      </c>
      <c r="F30" s="39">
        <f t="shared" si="38"/>
        <v>88958359.931629092</v>
      </c>
      <c r="G30" s="39">
        <f t="shared" si="38"/>
        <v>90296695.640646711</v>
      </c>
      <c r="H30" s="39">
        <f t="shared" si="38"/>
        <v>91613233.681591347</v>
      </c>
      <c r="I30" s="39">
        <f t="shared" si="38"/>
        <v>92908762.191632196</v>
      </c>
      <c r="J30" s="39">
        <f t="shared" si="38"/>
        <v>94184048.794761762</v>
      </c>
      <c r="K30" s="39">
        <f t="shared" si="38"/>
        <v>95439841.136771992</v>
      </c>
      <c r="L30" s="39">
        <f t="shared" si="38"/>
        <v>96676867.406848639</v>
      </c>
      <c r="M30" s="39">
        <f t="shared" si="38"/>
        <v>97895836.846111998</v>
      </c>
      <c r="N30" s="39">
        <f t="shared" si="38"/>
        <v>99097440.243426591</v>
      </c>
      <c r="O30" s="39">
        <f t="shared" si="38"/>
        <v>100282350.41879234</v>
      </c>
      <c r="P30" s="39">
        <f t="shared" si="38"/>
        <v>101451222.69462387</v>
      </c>
      <c r="Q30" s="39">
        <f t="shared" si="38"/>
        <v>102604695.35521655</v>
      </c>
      <c r="R30" s="39">
        <f t="shared" si="38"/>
        <v>98004051.25370124</v>
      </c>
      <c r="S30" s="39">
        <f t="shared" si="38"/>
        <v>97936646.864082187</v>
      </c>
      <c r="T30" s="39">
        <f t="shared" si="38"/>
        <v>97891066.762480199</v>
      </c>
      <c r="U30" s="39">
        <f t="shared" si="38"/>
        <v>97866989.871453747</v>
      </c>
      <c r="V30" s="39">
        <f t="shared" si="38"/>
        <v>97864101.615451559</v>
      </c>
      <c r="W30" s="39">
        <f t="shared" si="38"/>
        <v>98447866.260478601</v>
      </c>
      <c r="X30" s="39">
        <f t="shared" si="38"/>
        <v>99037357.923759803</v>
      </c>
      <c r="Y30" s="39">
        <f t="shared" si="38"/>
        <v>99632584.092293188</v>
      </c>
      <c r="Z30" s="39">
        <f t="shared" si="38"/>
        <v>100233552.63494311</v>
      </c>
      <c r="AA30" s="39">
        <f t="shared" si="38"/>
        <v>100840271.80138889</v>
      </c>
      <c r="AB30" s="39">
        <f t="shared" si="38"/>
        <v>101452750.22110099</v>
      </c>
      <c r="AC30" s="39">
        <f t="shared" si="38"/>
        <v>102070996.90234485</v>
      </c>
      <c r="AD30" s="39">
        <f t="shared" si="38"/>
        <v>102695021.23121226</v>
      </c>
      <c r="AE30" s="39">
        <f t="shared" si="38"/>
        <v>103324832.9706797</v>
      </c>
      <c r="AF30" s="39">
        <f t="shared" si="38"/>
        <v>103960442.25969416</v>
      </c>
      <c r="AG30" s="39">
        <f t="shared" si="38"/>
        <v>107458578.75344104</v>
      </c>
      <c r="AH30" s="39">
        <f t="shared" si="38"/>
        <v>107642356.07311457</v>
      </c>
      <c r="AI30" s="39">
        <f t="shared" ref="AI30:BJ30" si="39">AI18</f>
        <v>107835346.01347226</v>
      </c>
      <c r="AJ30" s="39">
        <f t="shared" si="39"/>
        <v>108037536.93504786</v>
      </c>
      <c r="AK30" s="39">
        <f t="shared" si="39"/>
        <v>108248917.73984149</v>
      </c>
      <c r="AL30" s="39">
        <f t="shared" si="39"/>
        <v>108469477.86938378</v>
      </c>
      <c r="AM30" s="39">
        <f t="shared" si="39"/>
        <v>108699207.30283511</v>
      </c>
      <c r="AN30" s="39">
        <f t="shared" si="39"/>
        <v>108938096.55511916</v>
      </c>
      <c r="AO30" s="39">
        <f t="shared" si="39"/>
        <v>109186136.67509121</v>
      </c>
      <c r="AP30" s="39">
        <f t="shared" si="39"/>
        <v>109443319.2437405</v>
      </c>
      <c r="AQ30" s="39">
        <f t="shared" si="39"/>
        <v>110558744.33341715</v>
      </c>
      <c r="AR30" s="39">
        <f t="shared" si="39"/>
        <v>111681279.14261541</v>
      </c>
      <c r="AS30" s="39">
        <f t="shared" si="39"/>
        <v>112810968.98868749</v>
      </c>
      <c r="AT30" s="39">
        <f t="shared" si="39"/>
        <v>113947859.47783846</v>
      </c>
      <c r="AU30" s="39">
        <f t="shared" si="39"/>
        <v>115091996.50696722</v>
      </c>
      <c r="AV30" s="39">
        <f t="shared" si="39"/>
        <v>122691899.09889498</v>
      </c>
      <c r="AW30" s="39">
        <f t="shared" si="39"/>
        <v>123891770.6365684</v>
      </c>
      <c r="AX30" s="39">
        <f t="shared" si="39"/>
        <v>125099290.15542299</v>
      </c>
      <c r="AY30" s="39">
        <f t="shared" si="39"/>
        <v>126314506.40369067</v>
      </c>
      <c r="AZ30" s="39">
        <f t="shared" si="39"/>
        <v>127537468.44032487</v>
      </c>
      <c r="BA30" s="39">
        <f t="shared" si="39"/>
        <v>128768225.63698059</v>
      </c>
      <c r="BB30" s="39">
        <f t="shared" si="39"/>
        <v>130006827.68000773</v>
      </c>
      <c r="BC30" s="39">
        <f t="shared" si="39"/>
        <v>131253324.57245716</v>
      </c>
      <c r="BD30" s="39">
        <f t="shared" si="39"/>
        <v>132507766.63609907</v>
      </c>
      <c r="BE30" s="39">
        <f t="shared" si="39"/>
        <v>133770204.51345462</v>
      </c>
      <c r="BF30" s="39">
        <f t="shared" si="39"/>
        <v>135040689.16984046</v>
      </c>
      <c r="BG30" s="39">
        <f t="shared" si="39"/>
        <v>136319271.89542606</v>
      </c>
      <c r="BH30" s="39">
        <f t="shared" si="39"/>
        <v>137606004.30730459</v>
      </c>
      <c r="BI30" s="39">
        <f t="shared" si="39"/>
        <v>138900938.35157639</v>
      </c>
      <c r="BJ30" s="39">
        <f t="shared" si="39"/>
        <v>140204126.30544642</v>
      </c>
    </row>
    <row r="31" spans="1:63" x14ac:dyDescent="0.3">
      <c r="A31" s="27" t="s">
        <v>70</v>
      </c>
      <c r="B31" s="42">
        <f>-N2</f>
        <v>-2469290000</v>
      </c>
      <c r="C31" s="31">
        <f t="shared" ref="C31:AG31" si="40">-C17</f>
        <v>0</v>
      </c>
      <c r="D31" s="31">
        <f t="shared" si="40"/>
        <v>0</v>
      </c>
      <c r="E31" s="31">
        <f t="shared" si="40"/>
        <v>0</v>
      </c>
      <c r="F31" s="31">
        <f t="shared" si="40"/>
        <v>0</v>
      </c>
      <c r="G31" s="31">
        <f t="shared" si="40"/>
        <v>0</v>
      </c>
      <c r="H31" s="31">
        <f t="shared" si="40"/>
        <v>0</v>
      </c>
      <c r="I31" s="31">
        <f t="shared" si="40"/>
        <v>0</v>
      </c>
      <c r="J31" s="31">
        <f t="shared" si="40"/>
        <v>0</v>
      </c>
      <c r="K31" s="31">
        <f t="shared" si="40"/>
        <v>0</v>
      </c>
      <c r="L31" s="31">
        <f t="shared" si="40"/>
        <v>0</v>
      </c>
      <c r="M31" s="31">
        <f t="shared" si="40"/>
        <v>0</v>
      </c>
      <c r="N31" s="31">
        <f t="shared" si="40"/>
        <v>0</v>
      </c>
      <c r="O31" s="31">
        <f t="shared" si="40"/>
        <v>0</v>
      </c>
      <c r="P31" s="31">
        <f t="shared" si="40"/>
        <v>0</v>
      </c>
      <c r="Q31" s="31">
        <f t="shared" si="40"/>
        <v>0</v>
      </c>
      <c r="R31" s="31">
        <f t="shared" si="40"/>
        <v>0</v>
      </c>
      <c r="S31" s="31">
        <f t="shared" si="40"/>
        <v>0</v>
      </c>
      <c r="T31" s="31">
        <f t="shared" si="40"/>
        <v>0</v>
      </c>
      <c r="U31" s="31">
        <f t="shared" si="40"/>
        <v>0</v>
      </c>
      <c r="V31" s="31">
        <f t="shared" si="40"/>
        <v>0</v>
      </c>
      <c r="W31" s="31">
        <f t="shared" si="40"/>
        <v>-236273000</v>
      </c>
      <c r="X31" s="31">
        <f t="shared" si="40"/>
        <v>0</v>
      </c>
      <c r="Y31" s="31">
        <f t="shared" si="40"/>
        <v>0</v>
      </c>
      <c r="Z31" s="31">
        <f t="shared" si="40"/>
        <v>0</v>
      </c>
      <c r="AA31" s="31">
        <f t="shared" si="40"/>
        <v>0</v>
      </c>
      <c r="AB31" s="31">
        <f t="shared" si="40"/>
        <v>0</v>
      </c>
      <c r="AC31" s="31">
        <f t="shared" si="40"/>
        <v>0</v>
      </c>
      <c r="AD31" s="31">
        <f t="shared" si="40"/>
        <v>0</v>
      </c>
      <c r="AE31" s="31">
        <f t="shared" si="40"/>
        <v>0</v>
      </c>
      <c r="AF31" s="31">
        <f t="shared" si="40"/>
        <v>0</v>
      </c>
      <c r="AG31" s="31">
        <f t="shared" si="40"/>
        <v>0</v>
      </c>
      <c r="AH31" s="31">
        <f t="shared" ref="AH31:BJ31" si="41">-AH17</f>
        <v>0</v>
      </c>
      <c r="AI31" s="31">
        <f t="shared" si="41"/>
        <v>0</v>
      </c>
      <c r="AJ31" s="31">
        <f t="shared" si="41"/>
        <v>0</v>
      </c>
      <c r="AK31" s="31">
        <f t="shared" si="41"/>
        <v>0</v>
      </c>
      <c r="AL31" s="31">
        <f t="shared" si="41"/>
        <v>0</v>
      </c>
      <c r="AM31" s="31">
        <f t="shared" si="41"/>
        <v>0</v>
      </c>
      <c r="AN31" s="31">
        <f t="shared" si="41"/>
        <v>0</v>
      </c>
      <c r="AO31" s="31">
        <f t="shared" si="41"/>
        <v>0</v>
      </c>
      <c r="AP31" s="31">
        <f t="shared" si="41"/>
        <v>0</v>
      </c>
      <c r="AQ31" s="31">
        <f t="shared" si="41"/>
        <v>-224032050</v>
      </c>
      <c r="AR31" s="31">
        <f t="shared" si="41"/>
        <v>0</v>
      </c>
      <c r="AS31" s="31">
        <f t="shared" si="41"/>
        <v>0</v>
      </c>
      <c r="AT31" s="31">
        <f t="shared" si="41"/>
        <v>0</v>
      </c>
      <c r="AU31" s="31">
        <f t="shared" si="41"/>
        <v>0</v>
      </c>
      <c r="AV31" s="31">
        <f t="shared" si="41"/>
        <v>0</v>
      </c>
      <c r="AW31" s="31">
        <f t="shared" si="41"/>
        <v>0</v>
      </c>
      <c r="AX31" s="31">
        <f t="shared" si="41"/>
        <v>0</v>
      </c>
      <c r="AY31" s="31">
        <f t="shared" si="41"/>
        <v>0</v>
      </c>
      <c r="AZ31" s="31">
        <f t="shared" si="41"/>
        <v>0</v>
      </c>
      <c r="BA31" s="31">
        <f t="shared" si="41"/>
        <v>0</v>
      </c>
      <c r="BB31" s="31">
        <f t="shared" si="41"/>
        <v>0</v>
      </c>
      <c r="BC31" s="31">
        <f t="shared" si="41"/>
        <v>0</v>
      </c>
      <c r="BD31" s="31">
        <f t="shared" si="41"/>
        <v>0</v>
      </c>
      <c r="BE31" s="31">
        <f t="shared" si="41"/>
        <v>0</v>
      </c>
      <c r="BF31" s="31">
        <f t="shared" si="41"/>
        <v>0</v>
      </c>
      <c r="BG31" s="31">
        <f t="shared" si="41"/>
        <v>0</v>
      </c>
      <c r="BH31" s="31">
        <f t="shared" si="41"/>
        <v>0</v>
      </c>
      <c r="BI31" s="31">
        <f t="shared" si="41"/>
        <v>0</v>
      </c>
      <c r="BJ31" s="31">
        <f t="shared" si="41"/>
        <v>0</v>
      </c>
    </row>
    <row r="32" spans="1:63" x14ac:dyDescent="0.3">
      <c r="A32" s="27" t="s">
        <v>74</v>
      </c>
      <c r="B32" s="38"/>
      <c r="C32" s="38">
        <f t="shared" ref="C32:AH32" si="42">C21</f>
        <v>-9434341.2155030817</v>
      </c>
      <c r="D32" s="38">
        <f t="shared" si="42"/>
        <v>-9827366.8477105405</v>
      </c>
      <c r="E32" s="38">
        <f t="shared" si="42"/>
        <v>-10213608.942183319</v>
      </c>
      <c r="F32" s="38">
        <f t="shared" si="42"/>
        <v>-10593311.920924518</v>
      </c>
      <c r="G32" s="38">
        <f t="shared" si="42"/>
        <v>-10966707.583740434</v>
      </c>
      <c r="H32" s="38">
        <f t="shared" si="42"/>
        <v>-11334021.697163986</v>
      </c>
      <c r="I32" s="38">
        <f t="shared" si="42"/>
        <v>-11695474.151465384</v>
      </c>
      <c r="J32" s="38">
        <f t="shared" si="42"/>
        <v>-12051279.113738533</v>
      </c>
      <c r="K32" s="38">
        <f t="shared" si="42"/>
        <v>-12401645.177159388</v>
      </c>
      <c r="L32" s="38">
        <f t="shared" si="42"/>
        <v>-12746775.506510772</v>
      </c>
      <c r="M32" s="38">
        <f t="shared" si="42"/>
        <v>-13086867.980065249</v>
      </c>
      <c r="N32" s="38">
        <f t="shared" si="42"/>
        <v>-13422115.327916021</v>
      </c>
      <c r="O32" s="38">
        <f t="shared" si="42"/>
        <v>-13752705.266843064</v>
      </c>
      <c r="P32" s="38">
        <f t="shared" si="42"/>
        <v>-14078820.631800061</v>
      </c>
      <c r="Q32" s="38">
        <f t="shared" si="42"/>
        <v>-14400639.504105419</v>
      </c>
      <c r="R32" s="38">
        <f t="shared" si="42"/>
        <v>-13117059.799782647</v>
      </c>
      <c r="S32" s="38">
        <f t="shared" si="42"/>
        <v>-13098253.975078931</v>
      </c>
      <c r="T32" s="38">
        <f t="shared" si="42"/>
        <v>-13085537.126731977</v>
      </c>
      <c r="U32" s="38">
        <f t="shared" si="42"/>
        <v>-13078819.674135597</v>
      </c>
      <c r="V32" s="38">
        <f t="shared" si="42"/>
        <v>-13078013.850710986</v>
      </c>
      <c r="W32" s="38">
        <f t="shared" si="42"/>
        <v>-13240884.186673531</v>
      </c>
      <c r="X32" s="38">
        <f t="shared" si="42"/>
        <v>-13405352.360728987</v>
      </c>
      <c r="Y32" s="38">
        <f t="shared" si="42"/>
        <v>-13571420.461749801</v>
      </c>
      <c r="Z32" s="38">
        <f t="shared" si="42"/>
        <v>-13739090.685149129</v>
      </c>
      <c r="AA32" s="38">
        <f t="shared" si="42"/>
        <v>-13908365.332587501</v>
      </c>
      <c r="AB32" s="38">
        <f t="shared" si="42"/>
        <v>-14079246.811687177</v>
      </c>
      <c r="AC32" s="38">
        <f t="shared" si="42"/>
        <v>-14251737.635754215</v>
      </c>
      <c r="AD32" s="38">
        <f t="shared" si="42"/>
        <v>-14425840.423508221</v>
      </c>
      <c r="AE32" s="38">
        <f t="shared" si="42"/>
        <v>-14601557.898819638</v>
      </c>
      <c r="AF32" s="38">
        <f t="shared" si="42"/>
        <v>-14778892.890454672</v>
      </c>
      <c r="AG32" s="38">
        <f t="shared" si="42"/>
        <v>-15754872.97221005</v>
      </c>
      <c r="AH32" s="38">
        <f t="shared" si="42"/>
        <v>-15806146.844398968</v>
      </c>
      <c r="AI32" s="38">
        <f t="shared" ref="AI32:BJ32" si="43">AI21</f>
        <v>-15859991.037758762</v>
      </c>
      <c r="AJ32" s="38">
        <f t="shared" si="43"/>
        <v>-15916402.304878356</v>
      </c>
      <c r="AK32" s="38">
        <f t="shared" si="43"/>
        <v>-15975377.549415778</v>
      </c>
      <c r="AL32" s="38">
        <f t="shared" si="43"/>
        <v>-16036913.825558078</v>
      </c>
      <c r="AM32" s="38">
        <f t="shared" si="43"/>
        <v>-16101008.337490996</v>
      </c>
      <c r="AN32" s="38">
        <f t="shared" si="43"/>
        <v>-16167658.438878246</v>
      </c>
      <c r="AO32" s="38">
        <f t="shared" si="43"/>
        <v>-16236861.632350449</v>
      </c>
      <c r="AP32" s="38">
        <f t="shared" si="43"/>
        <v>-16308615.569003601</v>
      </c>
      <c r="AQ32" s="38">
        <f t="shared" si="43"/>
        <v>-16619819.169023385</v>
      </c>
      <c r="AR32" s="38">
        <f t="shared" si="43"/>
        <v>-16933006.380789701</v>
      </c>
      <c r="AS32" s="38">
        <f t="shared" si="43"/>
        <v>-17248189.847843811</v>
      </c>
      <c r="AT32" s="38">
        <f t="shared" si="43"/>
        <v>-17565382.294316933</v>
      </c>
      <c r="AU32" s="38">
        <f t="shared" si="43"/>
        <v>-17884596.525443856</v>
      </c>
      <c r="AV32" s="38">
        <f t="shared" si="43"/>
        <v>-20004969.348591704</v>
      </c>
      <c r="AW32" s="38">
        <f t="shared" si="43"/>
        <v>-20339733.507602584</v>
      </c>
      <c r="AX32" s="38">
        <f t="shared" si="43"/>
        <v>-20676631.453363016</v>
      </c>
      <c r="AY32" s="38">
        <f t="shared" si="43"/>
        <v>-21015676.786629699</v>
      </c>
      <c r="AZ32" s="38">
        <f t="shared" si="43"/>
        <v>-21356883.194850642</v>
      </c>
      <c r="BA32" s="38">
        <f t="shared" si="43"/>
        <v>-21700264.452717587</v>
      </c>
      <c r="BB32" s="38">
        <f t="shared" si="43"/>
        <v>-22045834.422722157</v>
      </c>
      <c r="BC32" s="38">
        <f t="shared" si="43"/>
        <v>-22393607.05571555</v>
      </c>
      <c r="BD32" s="38">
        <f t="shared" si="43"/>
        <v>-22743596.391471643</v>
      </c>
      <c r="BE32" s="38">
        <f t="shared" si="43"/>
        <v>-23095816.559253842</v>
      </c>
      <c r="BF32" s="38">
        <f t="shared" si="43"/>
        <v>-23450281.77838549</v>
      </c>
      <c r="BG32" s="38">
        <f t="shared" si="43"/>
        <v>-23807006.358823873</v>
      </c>
      <c r="BH32" s="38">
        <f t="shared" si="43"/>
        <v>-24166004.701737981</v>
      </c>
      <c r="BI32" s="38">
        <f t="shared" si="43"/>
        <v>-24527291.300089814</v>
      </c>
      <c r="BJ32" s="38">
        <f t="shared" si="43"/>
        <v>-24890880.739219554</v>
      </c>
    </row>
    <row r="33" spans="1:62" x14ac:dyDescent="0.3">
      <c r="A33" s="33" t="s">
        <v>80</v>
      </c>
      <c r="B33" s="39">
        <f t="shared" ref="B33:AG33" si="44">SUM(B30:B32)</f>
        <v>-2469290000</v>
      </c>
      <c r="C33" s="39">
        <f t="shared" si="44"/>
        <v>75370001.850816205</v>
      </c>
      <c r="D33" s="39">
        <f t="shared" si="44"/>
        <v>76385670.240857705</v>
      </c>
      <c r="E33" s="39">
        <f t="shared" si="44"/>
        <v>77383808.41331245</v>
      </c>
      <c r="F33" s="39">
        <f t="shared" si="44"/>
        <v>78365048.010704577</v>
      </c>
      <c r="G33" s="39">
        <f t="shared" si="44"/>
        <v>79329988.056906283</v>
      </c>
      <c r="H33" s="39">
        <f t="shared" si="44"/>
        <v>80279211.984427363</v>
      </c>
      <c r="I33" s="39">
        <f t="shared" si="44"/>
        <v>81213288.04016681</v>
      </c>
      <c r="J33" s="39">
        <f t="shared" si="44"/>
        <v>82132769.681023225</v>
      </c>
      <c r="K33" s="39">
        <f t="shared" si="44"/>
        <v>83038195.959612608</v>
      </c>
      <c r="L33" s="39">
        <f t="shared" si="44"/>
        <v>83930091.900337875</v>
      </c>
      <c r="M33" s="39">
        <f t="shared" si="44"/>
        <v>84808968.866046757</v>
      </c>
      <c r="N33" s="39">
        <f t="shared" si="44"/>
        <v>85675324.915510565</v>
      </c>
      <c r="O33" s="39">
        <f t="shared" si="44"/>
        <v>86529645.151949272</v>
      </c>
      <c r="P33" s="39">
        <f t="shared" si="44"/>
        <v>87372402.062823817</v>
      </c>
      <c r="Q33" s="39">
        <f t="shared" si="44"/>
        <v>88204055.851111129</v>
      </c>
      <c r="R33" s="39">
        <f t="shared" si="44"/>
        <v>84886991.453918591</v>
      </c>
      <c r="S33" s="39">
        <f t="shared" si="44"/>
        <v>84838392.889003262</v>
      </c>
      <c r="T33" s="39">
        <f t="shared" si="44"/>
        <v>84805529.635748222</v>
      </c>
      <c r="U33" s="39">
        <f t="shared" si="44"/>
        <v>84788170.197318152</v>
      </c>
      <c r="V33" s="39">
        <f t="shared" si="44"/>
        <v>84786087.764740571</v>
      </c>
      <c r="W33" s="39">
        <f t="shared" si="44"/>
        <v>-151066017.92619491</v>
      </c>
      <c r="X33" s="39">
        <f t="shared" si="44"/>
        <v>85632005.563030809</v>
      </c>
      <c r="Y33" s="39">
        <f t="shared" si="44"/>
        <v>86061163.630543381</v>
      </c>
      <c r="Z33" s="39">
        <f t="shared" si="44"/>
        <v>86494461.94979398</v>
      </c>
      <c r="AA33" s="39">
        <f t="shared" si="44"/>
        <v>86931906.468801394</v>
      </c>
      <c r="AB33" s="39">
        <f t="shared" si="44"/>
        <v>87373503.409413815</v>
      </c>
      <c r="AC33" s="39">
        <f t="shared" si="44"/>
        <v>87819259.26659064</v>
      </c>
      <c r="AD33" s="39">
        <f t="shared" si="44"/>
        <v>88269180.807704031</v>
      </c>
      <c r="AE33" s="39">
        <f t="shared" si="44"/>
        <v>88723275.07186006</v>
      </c>
      <c r="AF33" s="39">
        <f t="shared" si="44"/>
        <v>89181549.369239479</v>
      </c>
      <c r="AG33" s="39">
        <f t="shared" si="44"/>
        <v>91703705.781230986</v>
      </c>
      <c r="AH33" s="39">
        <f t="shared" ref="AH33:BJ33" si="45">SUM(AH30:AH32)</f>
        <v>91836209.228715599</v>
      </c>
      <c r="AI33" s="39">
        <f t="shared" si="45"/>
        <v>91975354.975713491</v>
      </c>
      <c r="AJ33" s="39">
        <f t="shared" si="45"/>
        <v>92121134.630169511</v>
      </c>
      <c r="AK33" s="39">
        <f t="shared" si="45"/>
        <v>92273540.190425709</v>
      </c>
      <c r="AL33" s="39">
        <f t="shared" si="45"/>
        <v>92432564.043825701</v>
      </c>
      <c r="AM33" s="39">
        <f t="shared" si="45"/>
        <v>92598198.965344116</v>
      </c>
      <c r="AN33" s="39">
        <f t="shared" si="45"/>
        <v>92770438.116240919</v>
      </c>
      <c r="AO33" s="39">
        <f t="shared" si="45"/>
        <v>92949275.042740762</v>
      </c>
      <c r="AP33" s="39">
        <f t="shared" si="45"/>
        <v>93134703.674736902</v>
      </c>
      <c r="AQ33" s="39">
        <f t="shared" si="45"/>
        <v>-130093124.83560623</v>
      </c>
      <c r="AR33" s="39">
        <f t="shared" si="45"/>
        <v>94748272.761825711</v>
      </c>
      <c r="AS33" s="39">
        <f t="shared" si="45"/>
        <v>95562779.140843675</v>
      </c>
      <c r="AT33" s="39">
        <f t="shared" si="45"/>
        <v>96382477.183521524</v>
      </c>
      <c r="AU33" s="39">
        <f t="shared" si="45"/>
        <v>97207399.981523365</v>
      </c>
      <c r="AV33" s="39">
        <f t="shared" si="45"/>
        <v>102686929.75030328</v>
      </c>
      <c r="AW33" s="39">
        <f t="shared" si="45"/>
        <v>103552037.12896581</v>
      </c>
      <c r="AX33" s="39">
        <f t="shared" si="45"/>
        <v>104422658.70205997</v>
      </c>
      <c r="AY33" s="39">
        <f t="shared" si="45"/>
        <v>105298829.61706096</v>
      </c>
      <c r="AZ33" s="39">
        <f t="shared" si="45"/>
        <v>106180585.24547423</v>
      </c>
      <c r="BA33" s="39">
        <f t="shared" si="45"/>
        <v>107067961.18426301</v>
      </c>
      <c r="BB33" s="39">
        <f t="shared" si="45"/>
        <v>107960993.25728557</v>
      </c>
      <c r="BC33" s="39">
        <f t="shared" si="45"/>
        <v>108859717.51674162</v>
      </c>
      <c r="BD33" s="39">
        <f t="shared" si="45"/>
        <v>109764170.24462743</v>
      </c>
      <c r="BE33" s="39">
        <f t="shared" si="45"/>
        <v>110674387.95420077</v>
      </c>
      <c r="BF33" s="39">
        <f t="shared" si="45"/>
        <v>111590407.39145496</v>
      </c>
      <c r="BG33" s="39">
        <f t="shared" si="45"/>
        <v>112512265.5366022</v>
      </c>
      <c r="BH33" s="39">
        <f t="shared" si="45"/>
        <v>113439999.60556661</v>
      </c>
      <c r="BI33" s="39">
        <f t="shared" si="45"/>
        <v>114373647.05148658</v>
      </c>
      <c r="BJ33" s="39">
        <f t="shared" si="45"/>
        <v>115313245.56622687</v>
      </c>
    </row>
    <row r="34" spans="1:62" x14ac:dyDescent="0.3">
      <c r="A34" s="33" t="s">
        <v>81</v>
      </c>
      <c r="B34" s="39">
        <f>B33</f>
        <v>-2469290000</v>
      </c>
      <c r="C34" s="39">
        <f t="shared" ref="C34:AH34" si="46">C33+B34</f>
        <v>-2393919998.1491838</v>
      </c>
      <c r="D34" s="39">
        <f t="shared" si="46"/>
        <v>-2317534327.9083261</v>
      </c>
      <c r="E34" s="39">
        <f t="shared" si="46"/>
        <v>-2240150519.4950137</v>
      </c>
      <c r="F34" s="39">
        <f t="shared" si="46"/>
        <v>-2161785471.4843092</v>
      </c>
      <c r="G34" s="39">
        <f t="shared" si="46"/>
        <v>-2082455483.427403</v>
      </c>
      <c r="H34" s="39">
        <f t="shared" si="46"/>
        <v>-2002176271.4429755</v>
      </c>
      <c r="I34" s="39">
        <f t="shared" si="46"/>
        <v>-1920962983.4028087</v>
      </c>
      <c r="J34" s="39">
        <f t="shared" si="46"/>
        <v>-1838830213.7217855</v>
      </c>
      <c r="K34" s="39">
        <f t="shared" si="46"/>
        <v>-1755792017.7621729</v>
      </c>
      <c r="L34" s="39">
        <f t="shared" si="46"/>
        <v>-1671861925.861835</v>
      </c>
      <c r="M34" s="39">
        <f t="shared" si="46"/>
        <v>-1587052956.9957883</v>
      </c>
      <c r="N34" s="39">
        <f t="shared" si="46"/>
        <v>-1501377632.0802777</v>
      </c>
      <c r="O34" s="39">
        <f t="shared" si="46"/>
        <v>-1414847986.9283285</v>
      </c>
      <c r="P34" s="39">
        <f t="shared" si="46"/>
        <v>-1327475584.8655047</v>
      </c>
      <c r="Q34" s="39">
        <f t="shared" si="46"/>
        <v>-1239271529.0143936</v>
      </c>
      <c r="R34" s="39">
        <f t="shared" si="46"/>
        <v>-1154384537.5604749</v>
      </c>
      <c r="S34" s="39">
        <f t="shared" si="46"/>
        <v>-1069546144.6714716</v>
      </c>
      <c r="T34" s="39">
        <f t="shared" si="46"/>
        <v>-984740615.03572333</v>
      </c>
      <c r="U34" s="39">
        <f t="shared" si="46"/>
        <v>-899952444.83840513</v>
      </c>
      <c r="V34" s="39">
        <f t="shared" si="46"/>
        <v>-815166357.07366455</v>
      </c>
      <c r="W34" s="39">
        <f t="shared" si="46"/>
        <v>-966232374.99985945</v>
      </c>
      <c r="X34" s="39">
        <f t="shared" si="46"/>
        <v>-880600369.43682861</v>
      </c>
      <c r="Y34" s="39">
        <f t="shared" si="46"/>
        <v>-794539205.80628526</v>
      </c>
      <c r="Z34" s="39">
        <f t="shared" si="46"/>
        <v>-708044743.85649133</v>
      </c>
      <c r="AA34" s="39">
        <f t="shared" si="46"/>
        <v>-621112837.38768995</v>
      </c>
      <c r="AB34" s="39">
        <f t="shared" si="46"/>
        <v>-533739333.97827613</v>
      </c>
      <c r="AC34" s="39">
        <f t="shared" si="46"/>
        <v>-445920074.71168548</v>
      </c>
      <c r="AD34" s="39">
        <f t="shared" si="46"/>
        <v>-357650893.90398145</v>
      </c>
      <c r="AE34" s="39">
        <f t="shared" si="46"/>
        <v>-268927618.83212137</v>
      </c>
      <c r="AF34" s="39">
        <f t="shared" si="46"/>
        <v>-179746069.46288189</v>
      </c>
      <c r="AG34" s="39">
        <f t="shared" si="46"/>
        <v>-88042363.681650907</v>
      </c>
      <c r="AH34" s="39">
        <f t="shared" si="46"/>
        <v>3793845.5470646918</v>
      </c>
      <c r="AI34" s="39">
        <f t="shared" ref="AI34:BJ34" si="47">AI33+AH34</f>
        <v>95769200.522778183</v>
      </c>
      <c r="AJ34" s="39">
        <f t="shared" si="47"/>
        <v>187890335.15294769</v>
      </c>
      <c r="AK34" s="39">
        <f t="shared" si="47"/>
        <v>280163875.34337342</v>
      </c>
      <c r="AL34" s="39">
        <f t="shared" si="47"/>
        <v>372596439.3871991</v>
      </c>
      <c r="AM34" s="39">
        <f t="shared" si="47"/>
        <v>465194638.35254323</v>
      </c>
      <c r="AN34" s="39">
        <f t="shared" si="47"/>
        <v>557965076.46878409</v>
      </c>
      <c r="AO34" s="39">
        <f t="shared" si="47"/>
        <v>650914351.51152492</v>
      </c>
      <c r="AP34" s="39">
        <f t="shared" si="47"/>
        <v>744049055.18626177</v>
      </c>
      <c r="AQ34" s="39">
        <f t="shared" si="47"/>
        <v>613955930.35065556</v>
      </c>
      <c r="AR34" s="39">
        <f t="shared" si="47"/>
        <v>708704203.11248124</v>
      </c>
      <c r="AS34" s="39">
        <f t="shared" si="47"/>
        <v>804266982.25332487</v>
      </c>
      <c r="AT34" s="39">
        <f t="shared" si="47"/>
        <v>900649459.43684638</v>
      </c>
      <c r="AU34" s="39">
        <f t="shared" si="47"/>
        <v>997856859.41836977</v>
      </c>
      <c r="AV34" s="39">
        <f t="shared" si="47"/>
        <v>1100543789.168673</v>
      </c>
      <c r="AW34" s="39">
        <f t="shared" si="47"/>
        <v>1204095826.2976389</v>
      </c>
      <c r="AX34" s="39">
        <f t="shared" si="47"/>
        <v>1308518484.9996989</v>
      </c>
      <c r="AY34" s="39">
        <f t="shared" si="47"/>
        <v>1413817314.6167598</v>
      </c>
      <c r="AZ34" s="39">
        <f t="shared" si="47"/>
        <v>1519997899.8622341</v>
      </c>
      <c r="BA34" s="39">
        <f t="shared" si="47"/>
        <v>1627065861.0464971</v>
      </c>
      <c r="BB34" s="39">
        <f t="shared" si="47"/>
        <v>1735026854.3037827</v>
      </c>
      <c r="BC34" s="39">
        <f t="shared" si="47"/>
        <v>1843886571.8205242</v>
      </c>
      <c r="BD34" s="39">
        <f t="shared" si="47"/>
        <v>1953650742.0651517</v>
      </c>
      <c r="BE34" s="39">
        <f t="shared" si="47"/>
        <v>2064325130.0193524</v>
      </c>
      <c r="BF34" s="39">
        <f t="shared" si="47"/>
        <v>2175915537.4108076</v>
      </c>
      <c r="BG34" s="39">
        <f t="shared" si="47"/>
        <v>2288427802.9474096</v>
      </c>
      <c r="BH34" s="39">
        <f t="shared" si="47"/>
        <v>2401867802.5529761</v>
      </c>
      <c r="BI34" s="39">
        <f t="shared" si="47"/>
        <v>2516241449.6044626</v>
      </c>
      <c r="BJ34" s="39">
        <f t="shared" si="47"/>
        <v>2631554695.1706896</v>
      </c>
    </row>
    <row r="35" spans="1:62" x14ac:dyDescent="0.3">
      <c r="A35" s="33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</row>
    <row r="36" spans="1:62" x14ac:dyDescent="0.3">
      <c r="A36" s="33" t="s">
        <v>82</v>
      </c>
      <c r="B36" s="39"/>
      <c r="C36" s="39">
        <f t="shared" ref="C36:AH36" si="48">C33/(1+$V$2)^C28</f>
        <v>71780954.143634483</v>
      </c>
      <c r="D36" s="39">
        <f t="shared" si="48"/>
        <v>69284054.64023374</v>
      </c>
      <c r="E36" s="39">
        <f t="shared" si="48"/>
        <v>66847043.224975653</v>
      </c>
      <c r="F36" s="39">
        <f t="shared" si="48"/>
        <v>64471118.935591303</v>
      </c>
      <c r="G36" s="39">
        <f t="shared" si="48"/>
        <v>62157121.428216413</v>
      </c>
      <c r="H36" s="39">
        <f t="shared" si="48"/>
        <v>59905584.01263538</v>
      </c>
      <c r="I36" s="39">
        <f t="shared" si="48"/>
        <v>57716767.568626434</v>
      </c>
      <c r="J36" s="39">
        <f t="shared" si="48"/>
        <v>55590691.432552859</v>
      </c>
      <c r="K36" s="39">
        <f t="shared" si="48"/>
        <v>53527161.502206959</v>
      </c>
      <c r="L36" s="39">
        <f t="shared" si="48"/>
        <v>51525795.788511358</v>
      </c>
      <c r="M36" s="39">
        <f t="shared" si="48"/>
        <v>49586047.624754019</v>
      </c>
      <c r="N36" s="39">
        <f t="shared" si="48"/>
        <v>47707226.72747644</v>
      </c>
      <c r="O36" s="39">
        <f t="shared" si="48"/>
        <v>45888518.287839815</v>
      </c>
      <c r="P36" s="39">
        <f t="shared" si="48"/>
        <v>44129000.258171871</v>
      </c>
      <c r="Q36" s="39">
        <f t="shared" si="48"/>
        <v>42427658.985355332</v>
      </c>
      <c r="R36" s="39">
        <f t="shared" si="48"/>
        <v>38887708.852225631</v>
      </c>
      <c r="S36" s="39">
        <f t="shared" si="48"/>
        <v>37014709.799700633</v>
      </c>
      <c r="T36" s="39">
        <f t="shared" si="48"/>
        <v>35238449.210629851</v>
      </c>
      <c r="U36" s="39">
        <f t="shared" si="48"/>
        <v>33553558.100385956</v>
      </c>
      <c r="V36" s="39">
        <f t="shared" si="48"/>
        <v>31954984.772477917</v>
      </c>
      <c r="W36" s="39">
        <f t="shared" si="48"/>
        <v>-54223993.691320986</v>
      </c>
      <c r="X36" s="39">
        <f t="shared" si="48"/>
        <v>29273290.062610969</v>
      </c>
      <c r="Y36" s="39">
        <f t="shared" si="48"/>
        <v>28019045.421586592</v>
      </c>
      <c r="Z36" s="39">
        <f t="shared" si="48"/>
        <v>26819157.067794822</v>
      </c>
      <c r="AA36" s="39">
        <f t="shared" si="48"/>
        <v>25671232.929207668</v>
      </c>
      <c r="AB36" s="39">
        <f t="shared" si="48"/>
        <v>24572988.314041682</v>
      </c>
      <c r="AC36" s="39">
        <f t="shared" si="48"/>
        <v>23522240.970402349</v>
      </c>
      <c r="AD36" s="39">
        <f t="shared" si="48"/>
        <v>22516906.379877687</v>
      </c>
      <c r="AE36" s="39">
        <f t="shared" si="48"/>
        <v>21554993.273644816</v>
      </c>
      <c r="AF36" s="39">
        <f t="shared" si="48"/>
        <v>20634599.360231087</v>
      </c>
      <c r="AG36" s="39">
        <f t="shared" si="48"/>
        <v>20207780.453284461</v>
      </c>
      <c r="AH36" s="39">
        <f t="shared" si="48"/>
        <v>19273313.184186652</v>
      </c>
      <c r="AI36" s="39">
        <f t="shared" ref="AI36:BJ36" si="49">AI33/(1+$V$2)^AI28</f>
        <v>18383347.779719226</v>
      </c>
      <c r="AJ36" s="39">
        <f t="shared" si="49"/>
        <v>17535700.123311941</v>
      </c>
      <c r="AK36" s="39">
        <f t="shared" si="49"/>
        <v>16728296.431614773</v>
      </c>
      <c r="AL36" s="39">
        <f t="shared" si="49"/>
        <v>15959167.534643359</v>
      </c>
      <c r="AM36" s="39">
        <f t="shared" si="49"/>
        <v>15226443.459013106</v>
      </c>
      <c r="AN36" s="39">
        <f t="shared" si="49"/>
        <v>14528348.297917651</v>
      </c>
      <c r="AO36" s="39">
        <f t="shared" si="49"/>
        <v>13863195.352400411</v>
      </c>
      <c r="AP36" s="39">
        <f t="shared" si="49"/>
        <v>13229382.529312197</v>
      </c>
      <c r="AQ36" s="39">
        <f t="shared" si="49"/>
        <v>-17599206.361760862</v>
      </c>
      <c r="AR36" s="39">
        <f t="shared" si="49"/>
        <v>12207331.565738196</v>
      </c>
      <c r="AS36" s="39">
        <f t="shared" si="49"/>
        <v>11725973.580021074</v>
      </c>
      <c r="AT36" s="39">
        <f t="shared" si="49"/>
        <v>11263384.892775562</v>
      </c>
      <c r="AU36" s="39">
        <f t="shared" si="49"/>
        <v>10818844.258757751</v>
      </c>
      <c r="AV36" s="39">
        <f t="shared" si="49"/>
        <v>10884473.135738082</v>
      </c>
      <c r="AW36" s="39">
        <f t="shared" si="49"/>
        <v>10453496.80145824</v>
      </c>
      <c r="AX36" s="39">
        <f t="shared" si="49"/>
        <v>10039414.633650934</v>
      </c>
      <c r="AY36" s="39">
        <f t="shared" si="49"/>
        <v>9641572.907859277</v>
      </c>
      <c r="AZ36" s="39">
        <f t="shared" si="49"/>
        <v>9259342.7655139174</v>
      </c>
      <c r="BA36" s="39">
        <f t="shared" si="49"/>
        <v>8892119.2900970615</v>
      </c>
      <c r="BB36" s="39">
        <f t="shared" si="49"/>
        <v>8539320.6164855808</v>
      </c>
      <c r="BC36" s="39">
        <f t="shared" si="49"/>
        <v>8200387.0723424368</v>
      </c>
      <c r="BD36" s="39">
        <f t="shared" si="49"/>
        <v>7874780.3504608832</v>
      </c>
      <c r="BE36" s="39">
        <f t="shared" si="49"/>
        <v>7561982.7110003019</v>
      </c>
      <c r="BF36" s="39">
        <f t="shared" si="49"/>
        <v>7261496.2125857864</v>
      </c>
      <c r="BG36" s="39">
        <f t="shared" si="49"/>
        <v>6972841.9712761035</v>
      </c>
      <c r="BH36" s="39">
        <f t="shared" si="49"/>
        <v>6695559.4464364341</v>
      </c>
      <c r="BI36" s="39">
        <f t="shared" si="49"/>
        <v>6429205.7525829105</v>
      </c>
      <c r="BJ36" s="39">
        <f t="shared" si="49"/>
        <v>6173354.9962960603</v>
      </c>
    </row>
    <row r="37" spans="1:62" x14ac:dyDescent="0.3">
      <c r="A37" s="40" t="s">
        <v>83</v>
      </c>
      <c r="B37" s="39">
        <f>SUM(C36:BJ36)</f>
        <v>1505785267.128998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</row>
    <row r="38" spans="1:62" x14ac:dyDescent="0.3">
      <c r="A38" s="33" t="s">
        <v>84</v>
      </c>
      <c r="B38" s="39">
        <f>B31</f>
        <v>-2469290000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</row>
    <row r="39" spans="1:62" x14ac:dyDescent="0.3">
      <c r="A39" s="33" t="s">
        <v>85</v>
      </c>
      <c r="B39" s="39">
        <f>B37+B38</f>
        <v>-963504732.87100196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</row>
    <row r="40" spans="1:62" x14ac:dyDescent="0.3">
      <c r="A40" s="33" t="s">
        <v>86</v>
      </c>
      <c r="B40" s="41">
        <f>IRR(B33:BJ33)</f>
        <v>2.5814538825277067E-2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</row>
  </sheetData>
  <mergeCells count="8">
    <mergeCell ref="R5:AF5"/>
    <mergeCell ref="AV5:BI5"/>
    <mergeCell ref="AG5:AU5"/>
    <mergeCell ref="B27:P27"/>
    <mergeCell ref="Q27:AE27"/>
    <mergeCell ref="AF27:AT27"/>
    <mergeCell ref="AU27:BI27"/>
    <mergeCell ref="B5:Q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9C04-0DC6-4CE8-BB57-E90F1A7ABA3B}">
  <dimension ref="A1:BL39"/>
  <sheetViews>
    <sheetView zoomScale="45" workbookViewId="0">
      <selection activeCell="BJ36" sqref="BJ36"/>
    </sheetView>
  </sheetViews>
  <sheetFormatPr defaultRowHeight="14.4" x14ac:dyDescent="0.3"/>
  <cols>
    <col min="1" max="1" width="22.109375" bestFit="1" customWidth="1"/>
    <col min="2" max="2" width="22.5546875" bestFit="1" customWidth="1"/>
    <col min="3" max="3" width="21.77734375" bestFit="1" customWidth="1"/>
    <col min="4" max="5" width="22.5546875" bestFit="1" customWidth="1"/>
    <col min="6" max="6" width="21.77734375" bestFit="1" customWidth="1"/>
    <col min="7" max="7" width="18.6640625" customWidth="1"/>
    <col min="8" max="9" width="20.88671875" bestFit="1" customWidth="1"/>
    <col min="10" max="10" width="20.5546875" bestFit="1" customWidth="1"/>
    <col min="11" max="11" width="20.88671875" bestFit="1" customWidth="1"/>
    <col min="12" max="12" width="20.6640625" bestFit="1" customWidth="1"/>
    <col min="13" max="13" width="18" bestFit="1" customWidth="1"/>
    <col min="14" max="14" width="18.21875" bestFit="1" customWidth="1"/>
    <col min="15" max="16" width="18" bestFit="1" customWidth="1"/>
    <col min="17" max="17" width="16.88671875" customWidth="1"/>
    <col min="18" max="19" width="17.5546875" bestFit="1" customWidth="1"/>
    <col min="20" max="31" width="19.109375" bestFit="1" customWidth="1"/>
    <col min="32" max="33" width="18.77734375" bestFit="1" customWidth="1"/>
    <col min="34" max="35" width="16.109375" bestFit="1" customWidth="1"/>
    <col min="36" max="36" width="16.44140625" bestFit="1" customWidth="1"/>
    <col min="37" max="52" width="16.109375" bestFit="1" customWidth="1"/>
    <col min="53" max="53" width="27.21875" bestFit="1" customWidth="1"/>
    <col min="54" max="55" width="25.77734375" bestFit="1" customWidth="1"/>
    <col min="56" max="56" width="25" bestFit="1" customWidth="1"/>
    <col min="57" max="57" width="25.77734375" bestFit="1" customWidth="1"/>
    <col min="58" max="58" width="26.77734375" bestFit="1" customWidth="1"/>
    <col min="59" max="59" width="26.5546875" bestFit="1" customWidth="1"/>
    <col min="60" max="60" width="27.5546875" bestFit="1" customWidth="1"/>
    <col min="61" max="61" width="26" bestFit="1" customWidth="1"/>
    <col min="62" max="62" width="26.5546875" bestFit="1" customWidth="1"/>
    <col min="63" max="63" width="19.88671875" bestFit="1" customWidth="1"/>
  </cols>
  <sheetData>
    <row r="1" spans="1:64" x14ac:dyDescent="0.3">
      <c r="A1" s="12"/>
      <c r="B1" s="18" t="s">
        <v>49</v>
      </c>
      <c r="C1" s="18" t="s">
        <v>50</v>
      </c>
      <c r="D1" s="18" t="s">
        <v>51</v>
      </c>
      <c r="E1" s="18" t="s">
        <v>52</v>
      </c>
      <c r="G1" s="12"/>
      <c r="H1" s="18" t="s">
        <v>49</v>
      </c>
      <c r="I1" s="18" t="s">
        <v>50</v>
      </c>
      <c r="J1" s="18" t="s">
        <v>51</v>
      </c>
      <c r="K1" s="18" t="s">
        <v>52</v>
      </c>
      <c r="L1" s="12"/>
      <c r="N1" s="18" t="s">
        <v>53</v>
      </c>
      <c r="O1" s="12"/>
      <c r="S1" s="12"/>
      <c r="T1" s="18" t="s">
        <v>54</v>
      </c>
      <c r="V1" s="18" t="s">
        <v>87</v>
      </c>
    </row>
    <row r="2" spans="1:64" x14ac:dyDescent="0.3">
      <c r="A2" s="18" t="s">
        <v>55</v>
      </c>
      <c r="B2" s="21">
        <f>SUM('Output Produzione'!C3:C14)</f>
        <v>369257.25916911964</v>
      </c>
      <c r="C2" s="21">
        <f>SUM('Output Produzione'!C17:C28)</f>
        <v>334190.9246930661</v>
      </c>
      <c r="D2" s="21">
        <f>SUM('Output Produzione'!C31:C42)</f>
        <v>292224.77415524778</v>
      </c>
      <c r="E2" s="21">
        <f>SUM('Output Produzione'!C45:C56)</f>
        <v>272576.68695770763</v>
      </c>
      <c r="G2" s="18" t="s">
        <v>56</v>
      </c>
      <c r="H2" s="19">
        <f>'Prezzi Energia Vari'!B31</f>
        <v>104.72089093073527</v>
      </c>
      <c r="I2" s="19">
        <f>'Prezzi Energia Vari'!D31</f>
        <v>105.44537471948138</v>
      </c>
      <c r="J2" s="19">
        <f>'Prezzi Energia Vari'!F31</f>
        <v>106.06664743806007</v>
      </c>
      <c r="K2" s="19">
        <f>'Prezzi Energia Vari'!H31</f>
        <v>106.29154133195121</v>
      </c>
      <c r="L2" s="12"/>
      <c r="N2" s="19">
        <f>'OPEX and CAPEX'!C4</f>
        <v>2141700000</v>
      </c>
      <c r="O2" s="12"/>
      <c r="S2" s="12"/>
      <c r="T2" s="20">
        <v>0.27900000000000003</v>
      </c>
      <c r="V2" s="20">
        <v>0.05</v>
      </c>
    </row>
    <row r="3" spans="1:64" x14ac:dyDescent="0.3">
      <c r="A3" s="18" t="s">
        <v>57</v>
      </c>
      <c r="B3" s="21">
        <f>354*0.98*8760-B2</f>
        <v>2669761.9408308808</v>
      </c>
      <c r="C3" s="21">
        <f>354*0.98*8760-C2</f>
        <v>2704828.275306934</v>
      </c>
      <c r="D3" s="21">
        <f>354*0.98*8760-D2</f>
        <v>2746794.4258447522</v>
      </c>
      <c r="E3" s="21">
        <f>354*0.98*8760-E2</f>
        <v>2766442.5130422926</v>
      </c>
      <c r="G3" s="18" t="s">
        <v>58</v>
      </c>
      <c r="H3" s="19">
        <f>'Prezzi Energia Vari'!B34</f>
        <v>116.35654547859474</v>
      </c>
      <c r="I3" s="19">
        <f>'Prezzi Energia Vari'!D34</f>
        <v>117.16152746609042</v>
      </c>
      <c r="J3" s="19">
        <f>'Prezzi Energia Vari'!F34</f>
        <v>117.85183048673341</v>
      </c>
      <c r="K3" s="19">
        <f>'Prezzi Energia Vari'!H34</f>
        <v>118.1017125910569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5" spans="1:64" x14ac:dyDescent="0.3">
      <c r="A5" s="27"/>
      <c r="B5" s="72" t="s">
        <v>49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 t="s">
        <v>50</v>
      </c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 t="s">
        <v>51</v>
      </c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 t="s">
        <v>52</v>
      </c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28" t="s">
        <v>59</v>
      </c>
    </row>
    <row r="6" spans="1:64" x14ac:dyDescent="0.3">
      <c r="A6" s="27"/>
      <c r="B6" s="27">
        <v>0</v>
      </c>
      <c r="C6" s="27">
        <v>1</v>
      </c>
      <c r="D6" s="27">
        <v>2</v>
      </c>
      <c r="E6" s="27">
        <v>3</v>
      </c>
      <c r="F6" s="27">
        <v>4</v>
      </c>
      <c r="G6" s="27">
        <v>5</v>
      </c>
      <c r="H6" s="27">
        <v>6</v>
      </c>
      <c r="I6" s="27">
        <v>7</v>
      </c>
      <c r="J6" s="27">
        <v>8</v>
      </c>
      <c r="K6" s="27">
        <v>9</v>
      </c>
      <c r="L6" s="27">
        <v>10</v>
      </c>
      <c r="M6" s="27">
        <v>11</v>
      </c>
      <c r="N6" s="27">
        <v>12</v>
      </c>
      <c r="O6" s="27">
        <v>13</v>
      </c>
      <c r="P6" s="27">
        <v>14</v>
      </c>
      <c r="Q6" s="27">
        <v>15</v>
      </c>
      <c r="R6" s="27">
        <v>16</v>
      </c>
      <c r="S6" s="27">
        <v>17</v>
      </c>
      <c r="T6" s="27">
        <v>18</v>
      </c>
      <c r="U6" s="27">
        <v>19</v>
      </c>
      <c r="V6" s="27">
        <v>20</v>
      </c>
      <c r="W6" s="27">
        <v>21</v>
      </c>
      <c r="X6" s="27">
        <v>22</v>
      </c>
      <c r="Y6" s="27">
        <v>23</v>
      </c>
      <c r="Z6" s="27">
        <v>24</v>
      </c>
      <c r="AA6" s="27">
        <v>25</v>
      </c>
      <c r="AB6" s="27">
        <v>26</v>
      </c>
      <c r="AC6" s="27">
        <v>27</v>
      </c>
      <c r="AD6" s="27">
        <v>28</v>
      </c>
      <c r="AE6" s="27">
        <v>29</v>
      </c>
      <c r="AF6" s="27">
        <v>30</v>
      </c>
      <c r="AG6" s="27">
        <v>31</v>
      </c>
      <c r="AH6" s="27">
        <v>32</v>
      </c>
      <c r="AI6" s="27">
        <v>33</v>
      </c>
      <c r="AJ6" s="27">
        <v>34</v>
      </c>
      <c r="AK6" s="27">
        <v>35</v>
      </c>
      <c r="AL6" s="27">
        <v>36</v>
      </c>
      <c r="AM6" s="27">
        <v>37</v>
      </c>
      <c r="AN6" s="27">
        <v>38</v>
      </c>
      <c r="AO6" s="27">
        <v>39</v>
      </c>
      <c r="AP6" s="27">
        <v>40</v>
      </c>
      <c r="AQ6" s="27">
        <v>41</v>
      </c>
      <c r="AR6" s="27">
        <v>42</v>
      </c>
      <c r="AS6" s="27">
        <v>43</v>
      </c>
      <c r="AT6" s="27">
        <v>44</v>
      </c>
      <c r="AU6" s="27">
        <v>45</v>
      </c>
      <c r="AV6" s="27">
        <v>46</v>
      </c>
      <c r="AW6" s="27">
        <v>47</v>
      </c>
      <c r="AX6" s="27">
        <v>48</v>
      </c>
      <c r="AY6" s="27">
        <v>49</v>
      </c>
      <c r="AZ6" s="27">
        <v>50</v>
      </c>
      <c r="BA6" s="27">
        <v>51</v>
      </c>
      <c r="BB6" s="27">
        <v>52</v>
      </c>
      <c r="BC6" s="27">
        <v>53</v>
      </c>
      <c r="BD6" s="27">
        <v>54</v>
      </c>
      <c r="BE6" s="27">
        <v>55</v>
      </c>
      <c r="BF6" s="27">
        <v>56</v>
      </c>
      <c r="BG6" s="27">
        <v>57</v>
      </c>
      <c r="BH6" s="27">
        <v>58</v>
      </c>
      <c r="BI6" s="27">
        <v>59</v>
      </c>
      <c r="BJ6" s="27">
        <v>60</v>
      </c>
    </row>
    <row r="7" spans="1:64" x14ac:dyDescent="0.3">
      <c r="A7" s="29" t="s">
        <v>60</v>
      </c>
      <c r="B7" s="29">
        <v>2025</v>
      </c>
      <c r="C7" s="29">
        <v>2026</v>
      </c>
      <c r="D7" s="29">
        <v>2027</v>
      </c>
      <c r="E7" s="29">
        <v>2028</v>
      </c>
      <c r="F7" s="29">
        <v>2029</v>
      </c>
      <c r="G7" s="29">
        <v>2030</v>
      </c>
      <c r="H7" s="29">
        <v>2031</v>
      </c>
      <c r="I7" s="29">
        <v>2032</v>
      </c>
      <c r="J7" s="29">
        <v>2033</v>
      </c>
      <c r="K7" s="29">
        <v>2034</v>
      </c>
      <c r="L7" s="29">
        <v>2035</v>
      </c>
      <c r="M7" s="29">
        <v>2036</v>
      </c>
      <c r="N7" s="29">
        <v>2037</v>
      </c>
      <c r="O7" s="29">
        <v>2038</v>
      </c>
      <c r="P7" s="29">
        <v>2039</v>
      </c>
      <c r="Q7" s="29">
        <v>2040</v>
      </c>
      <c r="R7" s="29">
        <v>2041</v>
      </c>
      <c r="S7" s="29">
        <v>2042</v>
      </c>
      <c r="T7" s="29">
        <v>2043</v>
      </c>
      <c r="U7" s="29">
        <v>2044</v>
      </c>
      <c r="V7" s="29">
        <v>2045</v>
      </c>
      <c r="W7" s="29">
        <v>2046</v>
      </c>
      <c r="X7" s="29">
        <v>2047</v>
      </c>
      <c r="Y7" s="29">
        <v>2048</v>
      </c>
      <c r="Z7" s="29">
        <v>2049</v>
      </c>
      <c r="AA7" s="29">
        <v>2050</v>
      </c>
      <c r="AB7" s="29">
        <v>2051</v>
      </c>
      <c r="AC7" s="29">
        <v>2052</v>
      </c>
      <c r="AD7" s="29">
        <v>2053</v>
      </c>
      <c r="AE7" s="29">
        <v>2054</v>
      </c>
      <c r="AF7" s="29">
        <v>2055</v>
      </c>
      <c r="AG7" s="29">
        <v>2056</v>
      </c>
      <c r="AH7" s="29">
        <v>2057</v>
      </c>
      <c r="AI7" s="29">
        <v>2058</v>
      </c>
      <c r="AJ7" s="29">
        <v>2059</v>
      </c>
      <c r="AK7" s="29">
        <v>2060</v>
      </c>
      <c r="AL7" s="29">
        <v>2061</v>
      </c>
      <c r="AM7" s="29">
        <v>2062</v>
      </c>
      <c r="AN7" s="29">
        <v>2063</v>
      </c>
      <c r="AO7" s="29">
        <v>2064</v>
      </c>
      <c r="AP7" s="29">
        <v>2065</v>
      </c>
      <c r="AQ7" s="29">
        <v>2066</v>
      </c>
      <c r="AR7" s="29">
        <v>2067</v>
      </c>
      <c r="AS7" s="29">
        <v>2068</v>
      </c>
      <c r="AT7" s="29">
        <v>2069</v>
      </c>
      <c r="AU7" s="29">
        <v>2070</v>
      </c>
      <c r="AV7" s="29">
        <v>2071</v>
      </c>
      <c r="AW7" s="29">
        <v>2072</v>
      </c>
      <c r="AX7" s="29">
        <v>2073</v>
      </c>
      <c r="AY7" s="29">
        <v>2074</v>
      </c>
      <c r="AZ7" s="29">
        <v>2075</v>
      </c>
      <c r="BA7" s="29">
        <v>2076</v>
      </c>
      <c r="BB7" s="29">
        <v>2077</v>
      </c>
      <c r="BC7" s="29">
        <v>2078</v>
      </c>
      <c r="BD7" s="29">
        <v>2079</v>
      </c>
      <c r="BE7" s="29">
        <v>2080</v>
      </c>
      <c r="BF7" s="29">
        <v>2081</v>
      </c>
      <c r="BG7" s="29">
        <v>2082</v>
      </c>
      <c r="BH7" s="29">
        <v>2083</v>
      </c>
      <c r="BI7" s="29">
        <v>2084</v>
      </c>
      <c r="BJ7" s="29">
        <v>2085</v>
      </c>
    </row>
    <row r="8" spans="1:64" x14ac:dyDescent="0.3">
      <c r="A8" s="30" t="s">
        <v>61</v>
      </c>
      <c r="B8" s="30"/>
      <c r="C8" s="31">
        <f>($B$2*'Prezzi Energia Vari'!$B$31+$B$3*'Prezzi Energia Vari'!$B$34)*1.0063742415</f>
        <v>351539832.70884144</v>
      </c>
      <c r="D8" s="31">
        <f>C8*1.0063742415</f>
        <v>353780632.49939722</v>
      </c>
      <c r="E8" s="31">
        <f t="shared" ref="E8:Q8" si="0">D8*1.006374</f>
        <v>356035630.25094843</v>
      </c>
      <c r="F8" s="31">
        <f t="shared" si="0"/>
        <v>358305001.35816801</v>
      </c>
      <c r="G8" s="31">
        <f t="shared" si="0"/>
        <v>360588837.43682498</v>
      </c>
      <c r="H8" s="31">
        <f t="shared" si="0"/>
        <v>362887230.68664736</v>
      </c>
      <c r="I8" s="31">
        <f t="shared" si="0"/>
        <v>365200273.89504409</v>
      </c>
      <c r="J8" s="31">
        <f t="shared" si="0"/>
        <v>367528060.44085115</v>
      </c>
      <c r="K8" s="31">
        <f t="shared" si="0"/>
        <v>369870684.29810119</v>
      </c>
      <c r="L8" s="31">
        <f t="shared" si="0"/>
        <v>372228240.03981733</v>
      </c>
      <c r="M8" s="31">
        <f t="shared" si="0"/>
        <v>374600822.84183115</v>
      </c>
      <c r="N8" s="31">
        <f t="shared" si="0"/>
        <v>376988528.48662502</v>
      </c>
      <c r="O8" s="31">
        <f t="shared" si="0"/>
        <v>379391453.36719882</v>
      </c>
      <c r="P8" s="31">
        <f t="shared" si="0"/>
        <v>381809694.49096137</v>
      </c>
      <c r="Q8" s="31">
        <f t="shared" si="0"/>
        <v>384243349.48364681</v>
      </c>
      <c r="R8" s="31">
        <f>(C2*'Prezzi Energia Vari'!D31+C3*'Prezzi Energia Vari'!D34)*1.1*1.006374</f>
        <v>389823768.80642456</v>
      </c>
      <c r="S8" s="31">
        <f>R8*1.006374</f>
        <v>392308505.50879675</v>
      </c>
      <c r="T8" s="31">
        <f t="shared" ref="T8:AF8" si="1">S8*1.006374</f>
        <v>394809079.92290986</v>
      </c>
      <c r="U8" s="31">
        <f t="shared" si="1"/>
        <v>397325592.99833852</v>
      </c>
      <c r="V8" s="31">
        <f t="shared" si="1"/>
        <v>399858146.32810998</v>
      </c>
      <c r="W8" s="31">
        <f t="shared" si="1"/>
        <v>402406842.15280539</v>
      </c>
      <c r="X8" s="31">
        <f t="shared" si="1"/>
        <v>404971783.36468738</v>
      </c>
      <c r="Y8" s="31">
        <f t="shared" si="1"/>
        <v>407553073.51185393</v>
      </c>
      <c r="Z8" s="31">
        <f t="shared" si="1"/>
        <v>410150816.80241853</v>
      </c>
      <c r="AA8" s="31">
        <f t="shared" si="1"/>
        <v>412765118.1087172</v>
      </c>
      <c r="AB8" s="31">
        <f t="shared" si="1"/>
        <v>415396082.97154218</v>
      </c>
      <c r="AC8" s="31">
        <f t="shared" si="1"/>
        <v>418043817.60440284</v>
      </c>
      <c r="AD8" s="31">
        <f t="shared" si="1"/>
        <v>420708428.89781332</v>
      </c>
      <c r="AE8" s="31">
        <f t="shared" si="1"/>
        <v>423390024.42360801</v>
      </c>
      <c r="AF8" s="31">
        <f t="shared" si="1"/>
        <v>426088712.43928415</v>
      </c>
      <c r="AG8" s="31">
        <f>(D2*'Prezzi Energia Vari'!F31+D3*'Prezzi Energia Vari'!F34)*1.1^2*1.006374</f>
        <v>431934879.78427535</v>
      </c>
      <c r="AH8" s="31">
        <f t="shared" ref="AH8:AU8" si="2">AG8*1.006374</f>
        <v>434688032.70802039</v>
      </c>
      <c r="AI8" s="31">
        <f t="shared" si="2"/>
        <v>437458734.22850138</v>
      </c>
      <c r="AJ8" s="31">
        <f t="shared" si="2"/>
        <v>440247096.2004739</v>
      </c>
      <c r="AK8" s="31">
        <f t="shared" si="2"/>
        <v>443053231.19165576</v>
      </c>
      <c r="AL8" s="31">
        <f t="shared" si="2"/>
        <v>445877252.48727143</v>
      </c>
      <c r="AM8" s="31">
        <f t="shared" si="2"/>
        <v>448719274.09462535</v>
      </c>
      <c r="AN8" s="31">
        <f t="shared" si="2"/>
        <v>451579410.74770457</v>
      </c>
      <c r="AO8" s="31">
        <f t="shared" si="2"/>
        <v>454457777.91181046</v>
      </c>
      <c r="AP8" s="31">
        <f t="shared" si="2"/>
        <v>457354491.78822041</v>
      </c>
      <c r="AQ8" s="31">
        <f t="shared" si="2"/>
        <v>460269669.31887859</v>
      </c>
      <c r="AR8" s="31">
        <f t="shared" si="2"/>
        <v>463203428.19111717</v>
      </c>
      <c r="AS8" s="31">
        <f t="shared" si="2"/>
        <v>466155886.84240741</v>
      </c>
      <c r="AT8" s="31">
        <f t="shared" si="2"/>
        <v>469127164.46514094</v>
      </c>
      <c r="AU8" s="31">
        <f t="shared" si="2"/>
        <v>472117381.01144177</v>
      </c>
      <c r="AV8" s="31">
        <f>(E2*'Prezzi Energia Vari'!H31+E3*'Prezzi Energia Vari'!H34)*1.1^3*1.006374</f>
        <v>476446609.5047757</v>
      </c>
      <c r="AW8" s="31">
        <f t="shared" ref="AW8:BJ8" si="3">AV8*1.006374</f>
        <v>479483480.1937592</v>
      </c>
      <c r="AX8" s="31">
        <f t="shared" si="3"/>
        <v>482539707.8965143</v>
      </c>
      <c r="AY8" s="31">
        <f t="shared" si="3"/>
        <v>485615415.99464673</v>
      </c>
      <c r="AZ8" s="31">
        <f t="shared" si="3"/>
        <v>488710728.65619665</v>
      </c>
      <c r="BA8" s="31">
        <f t="shared" si="3"/>
        <v>491825770.84065127</v>
      </c>
      <c r="BB8" s="31">
        <f t="shared" si="3"/>
        <v>494960668.30398965</v>
      </c>
      <c r="BC8" s="31">
        <f t="shared" si="3"/>
        <v>498115547.60375935</v>
      </c>
      <c r="BD8" s="31">
        <f t="shared" si="3"/>
        <v>501290536.10418576</v>
      </c>
      <c r="BE8" s="31">
        <f t="shared" si="3"/>
        <v>504485761.98131388</v>
      </c>
      <c r="BF8" s="31">
        <f t="shared" si="3"/>
        <v>507701354.22818285</v>
      </c>
      <c r="BG8" s="31">
        <f t="shared" si="3"/>
        <v>510937442.66003335</v>
      </c>
      <c r="BH8" s="31">
        <f t="shared" si="3"/>
        <v>514194157.91954845</v>
      </c>
      <c r="BI8" s="31">
        <f t="shared" si="3"/>
        <v>517471631.48212773</v>
      </c>
      <c r="BJ8" s="31">
        <f t="shared" si="3"/>
        <v>520769995.66119486</v>
      </c>
      <c r="BL8" s="25"/>
    </row>
    <row r="9" spans="1:64" x14ac:dyDescent="0.3">
      <c r="A9" s="27" t="s">
        <v>62</v>
      </c>
      <c r="B9" s="3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</row>
    <row r="10" spans="1:64" x14ac:dyDescent="0.3">
      <c r="A10" s="27" t="s">
        <v>63</v>
      </c>
      <c r="B10" s="32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</row>
    <row r="11" spans="1:64" s="24" customFormat="1" x14ac:dyDescent="0.3">
      <c r="A11" s="33" t="s">
        <v>64</v>
      </c>
      <c r="B11" s="34"/>
      <c r="C11" s="34">
        <f t="shared" ref="C11:AH11" si="4">C8+C9+C10</f>
        <v>351539832.70884144</v>
      </c>
      <c r="D11" s="34">
        <f t="shared" si="4"/>
        <v>353780632.49939722</v>
      </c>
      <c r="E11" s="34">
        <f t="shared" si="4"/>
        <v>356035630.25094843</v>
      </c>
      <c r="F11" s="34">
        <f t="shared" si="4"/>
        <v>358305001.35816801</v>
      </c>
      <c r="G11" s="34">
        <f t="shared" si="4"/>
        <v>360588837.43682498</v>
      </c>
      <c r="H11" s="34">
        <f t="shared" si="4"/>
        <v>362887230.68664736</v>
      </c>
      <c r="I11" s="34">
        <f t="shared" si="4"/>
        <v>365200273.89504409</v>
      </c>
      <c r="J11" s="34">
        <f t="shared" si="4"/>
        <v>367528060.44085115</v>
      </c>
      <c r="K11" s="34">
        <f t="shared" si="4"/>
        <v>369870684.29810119</v>
      </c>
      <c r="L11" s="34">
        <f t="shared" si="4"/>
        <v>372228240.03981733</v>
      </c>
      <c r="M11" s="34">
        <f t="shared" si="4"/>
        <v>374600822.84183115</v>
      </c>
      <c r="N11" s="34">
        <f t="shared" si="4"/>
        <v>376988528.48662502</v>
      </c>
      <c r="O11" s="34">
        <f t="shared" si="4"/>
        <v>379391453.36719882</v>
      </c>
      <c r="P11" s="34">
        <f t="shared" si="4"/>
        <v>381809694.49096137</v>
      </c>
      <c r="Q11" s="34">
        <f t="shared" si="4"/>
        <v>384243349.48364681</v>
      </c>
      <c r="R11" s="34">
        <f t="shared" si="4"/>
        <v>389823768.80642456</v>
      </c>
      <c r="S11" s="34">
        <f t="shared" si="4"/>
        <v>392308505.50879675</v>
      </c>
      <c r="T11" s="34">
        <f t="shared" si="4"/>
        <v>394809079.92290986</v>
      </c>
      <c r="U11" s="34">
        <f t="shared" si="4"/>
        <v>397325592.99833852</v>
      </c>
      <c r="V11" s="34">
        <f t="shared" si="4"/>
        <v>399858146.32810998</v>
      </c>
      <c r="W11" s="34">
        <f t="shared" si="4"/>
        <v>402406842.15280539</v>
      </c>
      <c r="X11" s="34">
        <f t="shared" si="4"/>
        <v>404971783.36468738</v>
      </c>
      <c r="Y11" s="34">
        <f t="shared" si="4"/>
        <v>407553073.51185393</v>
      </c>
      <c r="Z11" s="34">
        <f t="shared" si="4"/>
        <v>410150816.80241853</v>
      </c>
      <c r="AA11" s="34">
        <f t="shared" si="4"/>
        <v>412765118.1087172</v>
      </c>
      <c r="AB11" s="34">
        <f t="shared" si="4"/>
        <v>415396082.97154218</v>
      </c>
      <c r="AC11" s="34">
        <f t="shared" si="4"/>
        <v>418043817.60440284</v>
      </c>
      <c r="AD11" s="34">
        <f t="shared" si="4"/>
        <v>420708428.89781332</v>
      </c>
      <c r="AE11" s="34">
        <f t="shared" si="4"/>
        <v>423390024.42360801</v>
      </c>
      <c r="AF11" s="34">
        <f t="shared" si="4"/>
        <v>426088712.43928415</v>
      </c>
      <c r="AG11" s="34">
        <f t="shared" si="4"/>
        <v>431934879.78427535</v>
      </c>
      <c r="AH11" s="34">
        <f t="shared" si="4"/>
        <v>434688032.70802039</v>
      </c>
      <c r="AI11" s="34">
        <f t="shared" ref="AI11:BJ11" si="5">AI8+AI9+AI10</f>
        <v>437458734.22850138</v>
      </c>
      <c r="AJ11" s="34">
        <f t="shared" si="5"/>
        <v>440247096.2004739</v>
      </c>
      <c r="AK11" s="34">
        <f t="shared" si="5"/>
        <v>443053231.19165576</v>
      </c>
      <c r="AL11" s="34">
        <f t="shared" si="5"/>
        <v>445877252.48727143</v>
      </c>
      <c r="AM11" s="34">
        <f t="shared" si="5"/>
        <v>448719274.09462535</v>
      </c>
      <c r="AN11" s="34">
        <f t="shared" si="5"/>
        <v>451579410.74770457</v>
      </c>
      <c r="AO11" s="34">
        <f t="shared" si="5"/>
        <v>454457777.91181046</v>
      </c>
      <c r="AP11" s="34">
        <f t="shared" si="5"/>
        <v>457354491.78822041</v>
      </c>
      <c r="AQ11" s="34">
        <f t="shared" si="5"/>
        <v>460269669.31887859</v>
      </c>
      <c r="AR11" s="34">
        <f t="shared" si="5"/>
        <v>463203428.19111717</v>
      </c>
      <c r="AS11" s="34">
        <f t="shared" si="5"/>
        <v>466155886.84240741</v>
      </c>
      <c r="AT11" s="34">
        <f t="shared" si="5"/>
        <v>469127164.46514094</v>
      </c>
      <c r="AU11" s="34">
        <f t="shared" si="5"/>
        <v>472117381.01144177</v>
      </c>
      <c r="AV11" s="34">
        <f t="shared" si="5"/>
        <v>476446609.5047757</v>
      </c>
      <c r="AW11" s="34">
        <f t="shared" si="5"/>
        <v>479483480.1937592</v>
      </c>
      <c r="AX11" s="34">
        <f t="shared" si="5"/>
        <v>482539707.8965143</v>
      </c>
      <c r="AY11" s="34">
        <f t="shared" si="5"/>
        <v>485615415.99464673</v>
      </c>
      <c r="AZ11" s="34">
        <f t="shared" si="5"/>
        <v>488710728.65619665</v>
      </c>
      <c r="BA11" s="34">
        <f t="shared" si="5"/>
        <v>491825770.84065127</v>
      </c>
      <c r="BB11" s="34">
        <f t="shared" si="5"/>
        <v>494960668.30398965</v>
      </c>
      <c r="BC11" s="34">
        <f t="shared" si="5"/>
        <v>498115547.60375935</v>
      </c>
      <c r="BD11" s="34">
        <f t="shared" si="5"/>
        <v>501290536.10418576</v>
      </c>
      <c r="BE11" s="34">
        <f t="shared" si="5"/>
        <v>504485761.98131388</v>
      </c>
      <c r="BF11" s="34">
        <f t="shared" si="5"/>
        <v>507701354.22818285</v>
      </c>
      <c r="BG11" s="34">
        <f t="shared" si="5"/>
        <v>510937442.66003335</v>
      </c>
      <c r="BH11" s="34">
        <f t="shared" si="5"/>
        <v>514194157.91954845</v>
      </c>
      <c r="BI11" s="34">
        <f t="shared" si="5"/>
        <v>517471631.48212773</v>
      </c>
      <c r="BJ11" s="34">
        <f t="shared" si="5"/>
        <v>520769995.66119486</v>
      </c>
    </row>
    <row r="12" spans="1:64" s="24" customFormat="1" x14ac:dyDescent="0.3">
      <c r="A12" s="27" t="s">
        <v>65</v>
      </c>
      <c r="B12" s="31"/>
      <c r="C12" s="31">
        <f>-('OPEX and CAPEX'!$E$4)*0.97650215</f>
        <v>-94369959.289582685</v>
      </c>
      <c r="D12" s="31">
        <f>C12*0.97650215</f>
        <v>-92152468.141689956</v>
      </c>
      <c r="E12" s="31">
        <f t="shared" ref="E12:Q12" si="6">D12*0.97650215</f>
        <v>-89987083.268166736</v>
      </c>
      <c r="F12" s="31">
        <f t="shared" si="6"/>
        <v>-87872580.283593833</v>
      </c>
      <c r="G12" s="31">
        <f t="shared" si="6"/>
        <v>-85807763.572976992</v>
      </c>
      <c r="H12" s="31">
        <f t="shared" si="6"/>
        <v>-83791465.615703717</v>
      </c>
      <c r="I12" s="31">
        <f t="shared" si="6"/>
        <v>-81822546.325385749</v>
      </c>
      <c r="J12" s="31">
        <f t="shared" si="6"/>
        <v>-79899892.405213773</v>
      </c>
      <c r="K12" s="31">
        <f t="shared" si="6"/>
        <v>-78022416.718459919</v>
      </c>
      <c r="L12" s="31">
        <f t="shared" si="6"/>
        <v>-76189057.673772052</v>
      </c>
      <c r="M12" s="31">
        <f t="shared" si="6"/>
        <v>-74398778.624912411</v>
      </c>
      <c r="N12" s="31">
        <f t="shared" si="6"/>
        <v>-72650567.284601003</v>
      </c>
      <c r="O12" s="31">
        <f t="shared" si="6"/>
        <v>-70943435.152132541</v>
      </c>
      <c r="P12" s="31">
        <f t="shared" si="6"/>
        <v>-69276416.954443008</v>
      </c>
      <c r="Q12" s="31">
        <f t="shared" si="6"/>
        <v>-67648570.100310043</v>
      </c>
      <c r="R12" s="31">
        <f>-('OPEX and CAPEX'!$E$4)*0.7*0.993</f>
        <v>-67175027.420255989</v>
      </c>
      <c r="S12" s="31">
        <f>R12*0.993</f>
        <v>-66704802.228314199</v>
      </c>
      <c r="T12" s="31">
        <f t="shared" ref="T12:AF12" si="7">S12*0.993</f>
        <v>-66237868.612715997</v>
      </c>
      <c r="U12" s="31">
        <f t="shared" si="7"/>
        <v>-65774203.532426983</v>
      </c>
      <c r="V12" s="31">
        <f t="shared" si="7"/>
        <v>-65313784.10769999</v>
      </c>
      <c r="W12" s="31">
        <f t="shared" si="7"/>
        <v>-64856587.61894609</v>
      </c>
      <c r="X12" s="31">
        <f t="shared" si="7"/>
        <v>-64402591.505613469</v>
      </c>
      <c r="Y12" s="31">
        <f t="shared" si="7"/>
        <v>-63951773.365074173</v>
      </c>
      <c r="Z12" s="31">
        <f t="shared" si="7"/>
        <v>-63504110.951518655</v>
      </c>
      <c r="AA12" s="31">
        <f t="shared" si="7"/>
        <v>-63059582.174858026</v>
      </c>
      <c r="AB12" s="31">
        <f t="shared" si="7"/>
        <v>-62618165.099634022</v>
      </c>
      <c r="AC12" s="31">
        <f t="shared" si="7"/>
        <v>-62179837.943936586</v>
      </c>
      <c r="AD12" s="31">
        <f t="shared" si="7"/>
        <v>-61744579.078329027</v>
      </c>
      <c r="AE12" s="31">
        <f t="shared" si="7"/>
        <v>-61312367.02478072</v>
      </c>
      <c r="AF12" s="31">
        <f t="shared" si="7"/>
        <v>-60883180.455607258</v>
      </c>
      <c r="AG12" s="31">
        <f>AF12</f>
        <v>-60883180.455607258</v>
      </c>
      <c r="AH12" s="31">
        <f t="shared" ref="AH12:BJ12" si="8">AG12</f>
        <v>-60883180.455607258</v>
      </c>
      <c r="AI12" s="31">
        <f t="shared" si="8"/>
        <v>-60883180.455607258</v>
      </c>
      <c r="AJ12" s="31">
        <f t="shared" si="8"/>
        <v>-60883180.455607258</v>
      </c>
      <c r="AK12" s="31">
        <f t="shared" si="8"/>
        <v>-60883180.455607258</v>
      </c>
      <c r="AL12" s="31">
        <f t="shared" si="8"/>
        <v>-60883180.455607258</v>
      </c>
      <c r="AM12" s="31">
        <f t="shared" si="8"/>
        <v>-60883180.455607258</v>
      </c>
      <c r="AN12" s="31">
        <f t="shared" si="8"/>
        <v>-60883180.455607258</v>
      </c>
      <c r="AO12" s="31">
        <f t="shared" si="8"/>
        <v>-60883180.455607258</v>
      </c>
      <c r="AP12" s="31">
        <f t="shared" si="8"/>
        <v>-60883180.455607258</v>
      </c>
      <c r="AQ12" s="31">
        <f t="shared" si="8"/>
        <v>-60883180.455607258</v>
      </c>
      <c r="AR12" s="31">
        <f t="shared" si="8"/>
        <v>-60883180.455607258</v>
      </c>
      <c r="AS12" s="31">
        <f t="shared" si="8"/>
        <v>-60883180.455607258</v>
      </c>
      <c r="AT12" s="31">
        <f t="shared" si="8"/>
        <v>-60883180.455607258</v>
      </c>
      <c r="AU12" s="31">
        <f t="shared" si="8"/>
        <v>-60883180.455607258</v>
      </c>
      <c r="AV12" s="31">
        <f t="shared" si="8"/>
        <v>-60883180.455607258</v>
      </c>
      <c r="AW12" s="31">
        <f t="shared" si="8"/>
        <v>-60883180.455607258</v>
      </c>
      <c r="AX12" s="31">
        <f t="shared" si="8"/>
        <v>-60883180.455607258</v>
      </c>
      <c r="AY12" s="31">
        <f t="shared" si="8"/>
        <v>-60883180.455607258</v>
      </c>
      <c r="AZ12" s="31">
        <f t="shared" si="8"/>
        <v>-60883180.455607258</v>
      </c>
      <c r="BA12" s="31">
        <f t="shared" si="8"/>
        <v>-60883180.455607258</v>
      </c>
      <c r="BB12" s="31">
        <f t="shared" si="8"/>
        <v>-60883180.455607258</v>
      </c>
      <c r="BC12" s="31">
        <f t="shared" si="8"/>
        <v>-60883180.455607258</v>
      </c>
      <c r="BD12" s="31">
        <f t="shared" si="8"/>
        <v>-60883180.455607258</v>
      </c>
      <c r="BE12" s="31">
        <f t="shared" si="8"/>
        <v>-60883180.455607258</v>
      </c>
      <c r="BF12" s="31">
        <f t="shared" si="8"/>
        <v>-60883180.455607258</v>
      </c>
      <c r="BG12" s="31">
        <f t="shared" si="8"/>
        <v>-60883180.455607258</v>
      </c>
      <c r="BH12" s="31">
        <f t="shared" si="8"/>
        <v>-60883180.455607258</v>
      </c>
      <c r="BI12" s="31">
        <f t="shared" si="8"/>
        <v>-60883180.455607258</v>
      </c>
      <c r="BJ12" s="31">
        <f t="shared" si="8"/>
        <v>-60883180.455607258</v>
      </c>
    </row>
    <row r="13" spans="1:64" s="24" customFormat="1" x14ac:dyDescent="0.3">
      <c r="A13" s="27" t="s">
        <v>66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</row>
    <row r="14" spans="1:64" s="24" customFormat="1" x14ac:dyDescent="0.3">
      <c r="A14" s="27" t="s">
        <v>67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</row>
    <row r="15" spans="1:64" s="24" customFormat="1" x14ac:dyDescent="0.3">
      <c r="A15" s="33" t="s">
        <v>69</v>
      </c>
      <c r="B15" s="34"/>
      <c r="C15" s="34">
        <f t="shared" ref="C15:AH15" si="9">C12+C13+C14</f>
        <v>-94369959.289582685</v>
      </c>
      <c r="D15" s="34">
        <f t="shared" si="9"/>
        <v>-92152468.141689956</v>
      </c>
      <c r="E15" s="34">
        <f t="shared" si="9"/>
        <v>-89987083.268166736</v>
      </c>
      <c r="F15" s="34">
        <f t="shared" si="9"/>
        <v>-87872580.283593833</v>
      </c>
      <c r="G15" s="34">
        <f t="shared" si="9"/>
        <v>-85807763.572976992</v>
      </c>
      <c r="H15" s="34">
        <f t="shared" si="9"/>
        <v>-83791465.615703717</v>
      </c>
      <c r="I15" s="34">
        <f t="shared" si="9"/>
        <v>-81822546.325385749</v>
      </c>
      <c r="J15" s="34">
        <f t="shared" si="9"/>
        <v>-79899892.405213773</v>
      </c>
      <c r="K15" s="34">
        <f t="shared" si="9"/>
        <v>-78022416.718459919</v>
      </c>
      <c r="L15" s="34">
        <f t="shared" si="9"/>
        <v>-76189057.673772052</v>
      </c>
      <c r="M15" s="34">
        <f t="shared" si="9"/>
        <v>-74398778.624912411</v>
      </c>
      <c r="N15" s="34">
        <f t="shared" si="9"/>
        <v>-72650567.284601003</v>
      </c>
      <c r="O15" s="34">
        <f t="shared" si="9"/>
        <v>-70943435.152132541</v>
      </c>
      <c r="P15" s="34">
        <f t="shared" si="9"/>
        <v>-69276416.954443008</v>
      </c>
      <c r="Q15" s="34">
        <f t="shared" si="9"/>
        <v>-67648570.100310043</v>
      </c>
      <c r="R15" s="34">
        <f t="shared" si="9"/>
        <v>-67175027.420255989</v>
      </c>
      <c r="S15" s="34">
        <f t="shared" si="9"/>
        <v>-66704802.228314199</v>
      </c>
      <c r="T15" s="34">
        <f t="shared" si="9"/>
        <v>-66237868.612715997</v>
      </c>
      <c r="U15" s="34">
        <f t="shared" si="9"/>
        <v>-65774203.532426983</v>
      </c>
      <c r="V15" s="34">
        <f t="shared" si="9"/>
        <v>-65313784.10769999</v>
      </c>
      <c r="W15" s="34">
        <f t="shared" si="9"/>
        <v>-64856587.61894609</v>
      </c>
      <c r="X15" s="34">
        <f t="shared" si="9"/>
        <v>-64402591.505613469</v>
      </c>
      <c r="Y15" s="34">
        <f t="shared" si="9"/>
        <v>-63951773.365074173</v>
      </c>
      <c r="Z15" s="34">
        <f t="shared" si="9"/>
        <v>-63504110.951518655</v>
      </c>
      <c r="AA15" s="34">
        <f t="shared" si="9"/>
        <v>-63059582.174858026</v>
      </c>
      <c r="AB15" s="34">
        <f t="shared" si="9"/>
        <v>-62618165.099634022</v>
      </c>
      <c r="AC15" s="34">
        <f t="shared" si="9"/>
        <v>-62179837.943936586</v>
      </c>
      <c r="AD15" s="34">
        <f t="shared" si="9"/>
        <v>-61744579.078329027</v>
      </c>
      <c r="AE15" s="34">
        <f t="shared" si="9"/>
        <v>-61312367.02478072</v>
      </c>
      <c r="AF15" s="34">
        <f t="shared" si="9"/>
        <v>-60883180.455607258</v>
      </c>
      <c r="AG15" s="34">
        <f t="shared" si="9"/>
        <v>-60883180.455607258</v>
      </c>
      <c r="AH15" s="34">
        <f t="shared" si="9"/>
        <v>-60883180.455607258</v>
      </c>
      <c r="AI15" s="34">
        <f t="shared" ref="AI15:BJ15" si="10">AI12+AI13+AI14</f>
        <v>-60883180.455607258</v>
      </c>
      <c r="AJ15" s="34">
        <f t="shared" si="10"/>
        <v>-60883180.455607258</v>
      </c>
      <c r="AK15" s="34">
        <f t="shared" si="10"/>
        <v>-60883180.455607258</v>
      </c>
      <c r="AL15" s="34">
        <f t="shared" si="10"/>
        <v>-60883180.455607258</v>
      </c>
      <c r="AM15" s="34">
        <f t="shared" si="10"/>
        <v>-60883180.455607258</v>
      </c>
      <c r="AN15" s="34">
        <f t="shared" si="10"/>
        <v>-60883180.455607258</v>
      </c>
      <c r="AO15" s="34">
        <f t="shared" si="10"/>
        <v>-60883180.455607258</v>
      </c>
      <c r="AP15" s="34">
        <f t="shared" si="10"/>
        <v>-60883180.455607258</v>
      </c>
      <c r="AQ15" s="34">
        <f t="shared" si="10"/>
        <v>-60883180.455607258</v>
      </c>
      <c r="AR15" s="34">
        <f t="shared" si="10"/>
        <v>-60883180.455607258</v>
      </c>
      <c r="AS15" s="34">
        <f t="shared" si="10"/>
        <v>-60883180.455607258</v>
      </c>
      <c r="AT15" s="34">
        <f t="shared" si="10"/>
        <v>-60883180.455607258</v>
      </c>
      <c r="AU15" s="34">
        <f t="shared" si="10"/>
        <v>-60883180.455607258</v>
      </c>
      <c r="AV15" s="34">
        <f t="shared" si="10"/>
        <v>-60883180.455607258</v>
      </c>
      <c r="AW15" s="34">
        <f t="shared" si="10"/>
        <v>-60883180.455607258</v>
      </c>
      <c r="AX15" s="34">
        <f t="shared" si="10"/>
        <v>-60883180.455607258</v>
      </c>
      <c r="AY15" s="34">
        <f t="shared" si="10"/>
        <v>-60883180.455607258</v>
      </c>
      <c r="AZ15" s="34">
        <f t="shared" si="10"/>
        <v>-60883180.455607258</v>
      </c>
      <c r="BA15" s="34">
        <f t="shared" si="10"/>
        <v>-60883180.455607258</v>
      </c>
      <c r="BB15" s="34">
        <f t="shared" si="10"/>
        <v>-60883180.455607258</v>
      </c>
      <c r="BC15" s="34">
        <f t="shared" si="10"/>
        <v>-60883180.455607258</v>
      </c>
      <c r="BD15" s="34">
        <f t="shared" si="10"/>
        <v>-60883180.455607258</v>
      </c>
      <c r="BE15" s="34">
        <f t="shared" si="10"/>
        <v>-60883180.455607258</v>
      </c>
      <c r="BF15" s="34">
        <f t="shared" si="10"/>
        <v>-60883180.455607258</v>
      </c>
      <c r="BG15" s="34">
        <f t="shared" si="10"/>
        <v>-60883180.455607258</v>
      </c>
      <c r="BH15" s="34">
        <f t="shared" si="10"/>
        <v>-60883180.455607258</v>
      </c>
      <c r="BI15" s="34">
        <f t="shared" si="10"/>
        <v>-60883180.455607258</v>
      </c>
      <c r="BJ15" s="34">
        <f t="shared" si="10"/>
        <v>-60883180.455607258</v>
      </c>
    </row>
    <row r="16" spans="1:64" x14ac:dyDescent="0.3">
      <c r="A16" s="27" t="s">
        <v>70</v>
      </c>
      <c r="B16" s="32">
        <f>N2</f>
        <v>2141700000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</row>
    <row r="17" spans="1:63" x14ac:dyDescent="0.3">
      <c r="A17" s="33" t="s">
        <v>71</v>
      </c>
      <c r="B17" s="34"/>
      <c r="C17" s="34">
        <f t="shared" ref="C17:AH17" si="11">C11+C15</f>
        <v>257169873.41925877</v>
      </c>
      <c r="D17" s="34">
        <f t="shared" si="11"/>
        <v>261628164.35770726</v>
      </c>
      <c r="E17" s="34">
        <f t="shared" si="11"/>
        <v>266048546.98278171</v>
      </c>
      <c r="F17" s="34">
        <f t="shared" si="11"/>
        <v>270432421.07457417</v>
      </c>
      <c r="G17" s="34">
        <f t="shared" si="11"/>
        <v>274781073.86384797</v>
      </c>
      <c r="H17" s="34">
        <f t="shared" si="11"/>
        <v>279095765.07094365</v>
      </c>
      <c r="I17" s="34">
        <f t="shared" si="11"/>
        <v>283377727.56965834</v>
      </c>
      <c r="J17" s="34">
        <f t="shared" si="11"/>
        <v>287628168.03563738</v>
      </c>
      <c r="K17" s="34">
        <f t="shared" si="11"/>
        <v>291848267.57964128</v>
      </c>
      <c r="L17" s="34">
        <f t="shared" si="11"/>
        <v>296039182.3660453</v>
      </c>
      <c r="M17" s="34">
        <f t="shared" si="11"/>
        <v>300202044.21691871</v>
      </c>
      <c r="N17" s="34">
        <f t="shared" si="11"/>
        <v>304337961.20202398</v>
      </c>
      <c r="O17" s="34">
        <f t="shared" si="11"/>
        <v>308448018.21506631</v>
      </c>
      <c r="P17" s="34">
        <f t="shared" si="11"/>
        <v>312533277.53651834</v>
      </c>
      <c r="Q17" s="34">
        <f t="shared" si="11"/>
        <v>316594779.38333678</v>
      </c>
      <c r="R17" s="34">
        <f t="shared" si="11"/>
        <v>322648741.3861686</v>
      </c>
      <c r="S17" s="34">
        <f t="shared" si="11"/>
        <v>325603703.28048253</v>
      </c>
      <c r="T17" s="34">
        <f t="shared" si="11"/>
        <v>328571211.31019384</v>
      </c>
      <c r="U17" s="34">
        <f t="shared" si="11"/>
        <v>331551389.46591151</v>
      </c>
      <c r="V17" s="34">
        <f t="shared" si="11"/>
        <v>334544362.22040999</v>
      </c>
      <c r="W17" s="34">
        <f t="shared" si="11"/>
        <v>337550254.53385931</v>
      </c>
      <c r="X17" s="34">
        <f t="shared" si="11"/>
        <v>340569191.85907394</v>
      </c>
      <c r="Y17" s="34">
        <f t="shared" si="11"/>
        <v>343601300.14677978</v>
      </c>
      <c r="Z17" s="34">
        <f t="shared" si="11"/>
        <v>346646705.85089988</v>
      </c>
      <c r="AA17" s="34">
        <f t="shared" si="11"/>
        <v>349705535.93385917</v>
      </c>
      <c r="AB17" s="34">
        <f t="shared" si="11"/>
        <v>352777917.87190819</v>
      </c>
      <c r="AC17" s="34">
        <f t="shared" si="11"/>
        <v>355863979.66046625</v>
      </c>
      <c r="AD17" s="34">
        <f t="shared" si="11"/>
        <v>358963849.81948429</v>
      </c>
      <c r="AE17" s="34">
        <f t="shared" si="11"/>
        <v>362077657.39882731</v>
      </c>
      <c r="AF17" s="34">
        <f t="shared" si="11"/>
        <v>365205531.98367691</v>
      </c>
      <c r="AG17" s="34">
        <f t="shared" si="11"/>
        <v>371051699.32866812</v>
      </c>
      <c r="AH17" s="34">
        <f t="shared" si="11"/>
        <v>373804852.25241315</v>
      </c>
      <c r="AI17" s="34">
        <f t="shared" ref="AI17:BJ17" si="12">AI11+AI15</f>
        <v>376575553.77289414</v>
      </c>
      <c r="AJ17" s="34">
        <f t="shared" si="12"/>
        <v>379363915.74486667</v>
      </c>
      <c r="AK17" s="34">
        <f t="shared" si="12"/>
        <v>382170050.73604852</v>
      </c>
      <c r="AL17" s="34">
        <f t="shared" si="12"/>
        <v>384994072.03166419</v>
      </c>
      <c r="AM17" s="34">
        <f t="shared" si="12"/>
        <v>387836093.63901812</v>
      </c>
      <c r="AN17" s="34">
        <f t="shared" si="12"/>
        <v>390696230.29209733</v>
      </c>
      <c r="AO17" s="34">
        <f t="shared" si="12"/>
        <v>393574597.45620322</v>
      </c>
      <c r="AP17" s="34">
        <f t="shared" si="12"/>
        <v>396471311.33261317</v>
      </c>
      <c r="AQ17" s="34">
        <f t="shared" si="12"/>
        <v>399386488.86327136</v>
      </c>
      <c r="AR17" s="34">
        <f t="shared" si="12"/>
        <v>402320247.73550993</v>
      </c>
      <c r="AS17" s="34">
        <f t="shared" si="12"/>
        <v>405272706.38680017</v>
      </c>
      <c r="AT17" s="34">
        <f t="shared" si="12"/>
        <v>408243984.0095337</v>
      </c>
      <c r="AU17" s="34">
        <f t="shared" si="12"/>
        <v>411234200.55583453</v>
      </c>
      <c r="AV17" s="34">
        <f t="shared" si="12"/>
        <v>415563429.04916847</v>
      </c>
      <c r="AW17" s="34">
        <f t="shared" si="12"/>
        <v>418600299.73815197</v>
      </c>
      <c r="AX17" s="34">
        <f t="shared" si="12"/>
        <v>421656527.44090706</v>
      </c>
      <c r="AY17" s="34">
        <f t="shared" si="12"/>
        <v>424732235.53903949</v>
      </c>
      <c r="AZ17" s="34">
        <f t="shared" si="12"/>
        <v>427827548.20058942</v>
      </c>
      <c r="BA17" s="34">
        <f t="shared" si="12"/>
        <v>430942590.38504404</v>
      </c>
      <c r="BB17" s="34">
        <f t="shared" si="12"/>
        <v>434077487.84838241</v>
      </c>
      <c r="BC17" s="34">
        <f t="shared" si="12"/>
        <v>437232367.14815211</v>
      </c>
      <c r="BD17" s="34">
        <f t="shared" si="12"/>
        <v>440407355.64857852</v>
      </c>
      <c r="BE17" s="34">
        <f t="shared" si="12"/>
        <v>443602581.52570665</v>
      </c>
      <c r="BF17" s="34">
        <f t="shared" si="12"/>
        <v>446818173.77257562</v>
      </c>
      <c r="BG17" s="34">
        <f t="shared" si="12"/>
        <v>450054262.20442611</v>
      </c>
      <c r="BH17" s="34">
        <f t="shared" si="12"/>
        <v>453310977.46394122</v>
      </c>
      <c r="BI17" s="34">
        <f t="shared" si="12"/>
        <v>456588451.02652049</v>
      </c>
      <c r="BJ17" s="34">
        <f t="shared" si="12"/>
        <v>459886815.20558763</v>
      </c>
    </row>
    <row r="18" spans="1:63" x14ac:dyDescent="0.3">
      <c r="A18" s="27" t="s">
        <v>72</v>
      </c>
      <c r="B18" s="31"/>
      <c r="C18" s="31">
        <f>-B16/60</f>
        <v>-35695000</v>
      </c>
      <c r="D18" s="31">
        <f t="shared" ref="D18:AI18" si="13">$C$18</f>
        <v>-35695000</v>
      </c>
      <c r="E18" s="31">
        <f t="shared" si="13"/>
        <v>-35695000</v>
      </c>
      <c r="F18" s="31">
        <f t="shared" si="13"/>
        <v>-35695000</v>
      </c>
      <c r="G18" s="31">
        <f t="shared" si="13"/>
        <v>-35695000</v>
      </c>
      <c r="H18" s="31">
        <f t="shared" si="13"/>
        <v>-35695000</v>
      </c>
      <c r="I18" s="31">
        <f t="shared" si="13"/>
        <v>-35695000</v>
      </c>
      <c r="J18" s="31">
        <f t="shared" si="13"/>
        <v>-35695000</v>
      </c>
      <c r="K18" s="31">
        <f t="shared" si="13"/>
        <v>-35695000</v>
      </c>
      <c r="L18" s="31">
        <f t="shared" si="13"/>
        <v>-35695000</v>
      </c>
      <c r="M18" s="31">
        <f t="shared" si="13"/>
        <v>-35695000</v>
      </c>
      <c r="N18" s="31">
        <f t="shared" si="13"/>
        <v>-35695000</v>
      </c>
      <c r="O18" s="31">
        <f t="shared" si="13"/>
        <v>-35695000</v>
      </c>
      <c r="P18" s="31">
        <f t="shared" si="13"/>
        <v>-35695000</v>
      </c>
      <c r="Q18" s="31">
        <f t="shared" si="13"/>
        <v>-35695000</v>
      </c>
      <c r="R18" s="31">
        <f t="shared" si="13"/>
        <v>-35695000</v>
      </c>
      <c r="S18" s="31">
        <f t="shared" si="13"/>
        <v>-35695000</v>
      </c>
      <c r="T18" s="31">
        <f t="shared" si="13"/>
        <v>-35695000</v>
      </c>
      <c r="U18" s="31">
        <f t="shared" si="13"/>
        <v>-35695000</v>
      </c>
      <c r="V18" s="31">
        <f t="shared" si="13"/>
        <v>-35695000</v>
      </c>
      <c r="W18" s="31">
        <f t="shared" si="13"/>
        <v>-35695000</v>
      </c>
      <c r="X18" s="31">
        <f t="shared" si="13"/>
        <v>-35695000</v>
      </c>
      <c r="Y18" s="31">
        <f t="shared" si="13"/>
        <v>-35695000</v>
      </c>
      <c r="Z18" s="31">
        <f t="shared" si="13"/>
        <v>-35695000</v>
      </c>
      <c r="AA18" s="31">
        <f t="shared" si="13"/>
        <v>-35695000</v>
      </c>
      <c r="AB18" s="31">
        <f t="shared" si="13"/>
        <v>-35695000</v>
      </c>
      <c r="AC18" s="31">
        <f t="shared" si="13"/>
        <v>-35695000</v>
      </c>
      <c r="AD18" s="31">
        <f t="shared" si="13"/>
        <v>-35695000</v>
      </c>
      <c r="AE18" s="31">
        <f t="shared" si="13"/>
        <v>-35695000</v>
      </c>
      <c r="AF18" s="31">
        <f t="shared" si="13"/>
        <v>-35695000</v>
      </c>
      <c r="AG18" s="31">
        <f t="shared" si="13"/>
        <v>-35695000</v>
      </c>
      <c r="AH18" s="31">
        <f t="shared" si="13"/>
        <v>-35695000</v>
      </c>
      <c r="AI18" s="31">
        <f t="shared" si="13"/>
        <v>-35695000</v>
      </c>
      <c r="AJ18" s="31">
        <f t="shared" ref="AJ18:BJ18" si="14">$C$18</f>
        <v>-35695000</v>
      </c>
      <c r="AK18" s="31">
        <f t="shared" si="14"/>
        <v>-35695000</v>
      </c>
      <c r="AL18" s="31">
        <f t="shared" si="14"/>
        <v>-35695000</v>
      </c>
      <c r="AM18" s="31">
        <f t="shared" si="14"/>
        <v>-35695000</v>
      </c>
      <c r="AN18" s="31">
        <f t="shared" si="14"/>
        <v>-35695000</v>
      </c>
      <c r="AO18" s="31">
        <f t="shared" si="14"/>
        <v>-35695000</v>
      </c>
      <c r="AP18" s="31">
        <f t="shared" si="14"/>
        <v>-35695000</v>
      </c>
      <c r="AQ18" s="31">
        <f t="shared" si="14"/>
        <v>-35695000</v>
      </c>
      <c r="AR18" s="31">
        <f t="shared" si="14"/>
        <v>-35695000</v>
      </c>
      <c r="AS18" s="31">
        <f t="shared" si="14"/>
        <v>-35695000</v>
      </c>
      <c r="AT18" s="31">
        <f t="shared" si="14"/>
        <v>-35695000</v>
      </c>
      <c r="AU18" s="31">
        <f t="shared" si="14"/>
        <v>-35695000</v>
      </c>
      <c r="AV18" s="31">
        <f t="shared" si="14"/>
        <v>-35695000</v>
      </c>
      <c r="AW18" s="31">
        <f t="shared" si="14"/>
        <v>-35695000</v>
      </c>
      <c r="AX18" s="31">
        <f t="shared" si="14"/>
        <v>-35695000</v>
      </c>
      <c r="AY18" s="31">
        <f t="shared" si="14"/>
        <v>-35695000</v>
      </c>
      <c r="AZ18" s="31">
        <f t="shared" si="14"/>
        <v>-35695000</v>
      </c>
      <c r="BA18" s="31">
        <f t="shared" si="14"/>
        <v>-35695000</v>
      </c>
      <c r="BB18" s="31">
        <f t="shared" si="14"/>
        <v>-35695000</v>
      </c>
      <c r="BC18" s="31">
        <f t="shared" si="14"/>
        <v>-35695000</v>
      </c>
      <c r="BD18" s="31">
        <f t="shared" si="14"/>
        <v>-35695000</v>
      </c>
      <c r="BE18" s="31">
        <f t="shared" si="14"/>
        <v>-35695000</v>
      </c>
      <c r="BF18" s="31">
        <f t="shared" si="14"/>
        <v>-35695000</v>
      </c>
      <c r="BG18" s="31">
        <f t="shared" si="14"/>
        <v>-35695000</v>
      </c>
      <c r="BH18" s="31">
        <f t="shared" si="14"/>
        <v>-35695000</v>
      </c>
      <c r="BI18" s="31">
        <f t="shared" si="14"/>
        <v>-35695000</v>
      </c>
      <c r="BJ18" s="31">
        <f t="shared" si="14"/>
        <v>-35695000</v>
      </c>
    </row>
    <row r="19" spans="1:63" x14ac:dyDescent="0.3">
      <c r="A19" s="33" t="s">
        <v>73</v>
      </c>
      <c r="B19" s="34"/>
      <c r="C19" s="34">
        <f t="shared" ref="C19:AH19" si="15">C17+C18</f>
        <v>221474873.41925877</v>
      </c>
      <c r="D19" s="34">
        <f t="shared" si="15"/>
        <v>225933164.35770726</v>
      </c>
      <c r="E19" s="34">
        <f t="shared" si="15"/>
        <v>230353546.98278171</v>
      </c>
      <c r="F19" s="34">
        <f t="shared" si="15"/>
        <v>234737421.07457417</v>
      </c>
      <c r="G19" s="34">
        <f t="shared" si="15"/>
        <v>239086073.86384797</v>
      </c>
      <c r="H19" s="34">
        <f t="shared" si="15"/>
        <v>243400765.07094365</v>
      </c>
      <c r="I19" s="34">
        <f t="shared" si="15"/>
        <v>247682727.56965834</v>
      </c>
      <c r="J19" s="34">
        <f t="shared" si="15"/>
        <v>251933168.03563738</v>
      </c>
      <c r="K19" s="34">
        <f t="shared" si="15"/>
        <v>256153267.57964128</v>
      </c>
      <c r="L19" s="34">
        <f t="shared" si="15"/>
        <v>260344182.3660453</v>
      </c>
      <c r="M19" s="34">
        <f t="shared" si="15"/>
        <v>264507044.21691871</v>
      </c>
      <c r="N19" s="34">
        <f t="shared" si="15"/>
        <v>268642961.20202398</v>
      </c>
      <c r="O19" s="34">
        <f t="shared" si="15"/>
        <v>272753018.21506631</v>
      </c>
      <c r="P19" s="34">
        <f t="shared" si="15"/>
        <v>276838277.53651834</v>
      </c>
      <c r="Q19" s="34">
        <f t="shared" si="15"/>
        <v>280899779.38333678</v>
      </c>
      <c r="R19" s="34">
        <f t="shared" si="15"/>
        <v>286953741.3861686</v>
      </c>
      <c r="S19" s="34">
        <f t="shared" si="15"/>
        <v>289908703.28048253</v>
      </c>
      <c r="T19" s="34">
        <f t="shared" si="15"/>
        <v>292876211.31019384</v>
      </c>
      <c r="U19" s="34">
        <f t="shared" si="15"/>
        <v>295856389.46591151</v>
      </c>
      <c r="V19" s="34">
        <f t="shared" si="15"/>
        <v>298849362.22040999</v>
      </c>
      <c r="W19" s="34">
        <f t="shared" si="15"/>
        <v>301855254.53385931</v>
      </c>
      <c r="X19" s="34">
        <f t="shared" si="15"/>
        <v>304874191.85907394</v>
      </c>
      <c r="Y19" s="34">
        <f t="shared" si="15"/>
        <v>307906300.14677978</v>
      </c>
      <c r="Z19" s="34">
        <f t="shared" si="15"/>
        <v>310951705.85089988</v>
      </c>
      <c r="AA19" s="34">
        <f t="shared" si="15"/>
        <v>314010535.93385917</v>
      </c>
      <c r="AB19" s="34">
        <f t="shared" si="15"/>
        <v>317082917.87190819</v>
      </c>
      <c r="AC19" s="34">
        <f t="shared" si="15"/>
        <v>320168979.66046625</v>
      </c>
      <c r="AD19" s="34">
        <f t="shared" si="15"/>
        <v>323268849.81948429</v>
      </c>
      <c r="AE19" s="34">
        <f t="shared" si="15"/>
        <v>326382657.39882731</v>
      </c>
      <c r="AF19" s="34">
        <f t="shared" si="15"/>
        <v>329510531.98367691</v>
      </c>
      <c r="AG19" s="34">
        <f t="shared" si="15"/>
        <v>335356699.32866812</v>
      </c>
      <c r="AH19" s="34">
        <f t="shared" si="15"/>
        <v>338109852.25241315</v>
      </c>
      <c r="AI19" s="34">
        <f t="shared" ref="AI19:BJ19" si="16">AI17+AI18</f>
        <v>340880553.77289414</v>
      </c>
      <c r="AJ19" s="34">
        <f t="shared" si="16"/>
        <v>343668915.74486667</v>
      </c>
      <c r="AK19" s="34">
        <f t="shared" si="16"/>
        <v>346475050.73604852</v>
      </c>
      <c r="AL19" s="34">
        <f t="shared" si="16"/>
        <v>349299072.03166419</v>
      </c>
      <c r="AM19" s="34">
        <f t="shared" si="16"/>
        <v>352141093.63901812</v>
      </c>
      <c r="AN19" s="34">
        <f t="shared" si="16"/>
        <v>355001230.29209733</v>
      </c>
      <c r="AO19" s="34">
        <f t="shared" si="16"/>
        <v>357879597.45620322</v>
      </c>
      <c r="AP19" s="34">
        <f t="shared" si="16"/>
        <v>360776311.33261317</v>
      </c>
      <c r="AQ19" s="34">
        <f t="shared" si="16"/>
        <v>363691488.86327136</v>
      </c>
      <c r="AR19" s="34">
        <f t="shared" si="16"/>
        <v>366625247.73550993</v>
      </c>
      <c r="AS19" s="34">
        <f t="shared" si="16"/>
        <v>369577706.38680017</v>
      </c>
      <c r="AT19" s="34">
        <f t="shared" si="16"/>
        <v>372548984.0095337</v>
      </c>
      <c r="AU19" s="34">
        <f t="shared" si="16"/>
        <v>375539200.55583453</v>
      </c>
      <c r="AV19" s="34">
        <f t="shared" si="16"/>
        <v>379868429.04916847</v>
      </c>
      <c r="AW19" s="34">
        <f t="shared" si="16"/>
        <v>382905299.73815197</v>
      </c>
      <c r="AX19" s="34">
        <f t="shared" si="16"/>
        <v>385961527.44090706</v>
      </c>
      <c r="AY19" s="34">
        <f t="shared" si="16"/>
        <v>389037235.53903949</v>
      </c>
      <c r="AZ19" s="34">
        <f t="shared" si="16"/>
        <v>392132548.20058942</v>
      </c>
      <c r="BA19" s="34">
        <f t="shared" si="16"/>
        <v>395247590.38504404</v>
      </c>
      <c r="BB19" s="34">
        <f t="shared" si="16"/>
        <v>398382487.84838241</v>
      </c>
      <c r="BC19" s="34">
        <f t="shared" si="16"/>
        <v>401537367.14815211</v>
      </c>
      <c r="BD19" s="34">
        <f t="shared" si="16"/>
        <v>404712355.64857852</v>
      </c>
      <c r="BE19" s="34">
        <f t="shared" si="16"/>
        <v>407907581.52570665</v>
      </c>
      <c r="BF19" s="34">
        <f t="shared" si="16"/>
        <v>411123173.77257562</v>
      </c>
      <c r="BG19" s="34">
        <f t="shared" si="16"/>
        <v>414359262.20442611</v>
      </c>
      <c r="BH19" s="34">
        <f t="shared" si="16"/>
        <v>417615977.46394122</v>
      </c>
      <c r="BI19" s="34">
        <f t="shared" si="16"/>
        <v>420893451.02652049</v>
      </c>
      <c r="BJ19" s="34">
        <f t="shared" si="16"/>
        <v>424191815.20558763</v>
      </c>
    </row>
    <row r="20" spans="1:63" x14ac:dyDescent="0.3">
      <c r="A20" s="27" t="s">
        <v>74</v>
      </c>
      <c r="B20" s="31"/>
      <c r="C20" s="31">
        <f t="shared" ref="C20:AH20" si="17">-$T$2*C19</f>
        <v>-61791489.683973201</v>
      </c>
      <c r="D20" s="31">
        <f t="shared" si="17"/>
        <v>-63035352.855800331</v>
      </c>
      <c r="E20" s="31">
        <f t="shared" si="17"/>
        <v>-64268639.608196102</v>
      </c>
      <c r="F20" s="31">
        <f t="shared" si="17"/>
        <v>-65491740.4798062</v>
      </c>
      <c r="G20" s="31">
        <f t="shared" si="17"/>
        <v>-66705014.608013593</v>
      </c>
      <c r="H20" s="31">
        <f t="shared" si="17"/>
        <v>-67908813.454793289</v>
      </c>
      <c r="I20" s="31">
        <f t="shared" si="17"/>
        <v>-69103480.991934687</v>
      </c>
      <c r="J20" s="31">
        <f t="shared" si="17"/>
        <v>-70289353.881942838</v>
      </c>
      <c r="K20" s="31">
        <f t="shared" si="17"/>
        <v>-71466761.654719919</v>
      </c>
      <c r="L20" s="31">
        <f t="shared" si="17"/>
        <v>-72636026.88012664</v>
      </c>
      <c r="M20" s="31">
        <f t="shared" si="17"/>
        <v>-73797465.336520329</v>
      </c>
      <c r="N20" s="31">
        <f t="shared" si="17"/>
        <v>-74951386.175364703</v>
      </c>
      <c r="O20" s="31">
        <f t="shared" si="17"/>
        <v>-76098092.082003504</v>
      </c>
      <c r="P20" s="31">
        <f t="shared" si="17"/>
        <v>-77237879.432688624</v>
      </c>
      <c r="Q20" s="31">
        <f t="shared" si="17"/>
        <v>-78371038.447950974</v>
      </c>
      <c r="R20" s="31">
        <f t="shared" si="17"/>
        <v>-80060093.84674105</v>
      </c>
      <c r="S20" s="31">
        <f t="shared" si="17"/>
        <v>-80884528.215254635</v>
      </c>
      <c r="T20" s="31">
        <f t="shared" si="17"/>
        <v>-81712462.955544084</v>
      </c>
      <c r="U20" s="31">
        <f t="shared" si="17"/>
        <v>-82543932.660989314</v>
      </c>
      <c r="V20" s="31">
        <f t="shared" si="17"/>
        <v>-83378972.059494391</v>
      </c>
      <c r="W20" s="31">
        <f t="shared" si="17"/>
        <v>-84217616.014946759</v>
      </c>
      <c r="X20" s="31">
        <f t="shared" si="17"/>
        <v>-85059899.528681636</v>
      </c>
      <c r="Y20" s="31">
        <f t="shared" si="17"/>
        <v>-85905857.740951568</v>
      </c>
      <c r="Z20" s="31">
        <f t="shared" si="17"/>
        <v>-86755525.932401076</v>
      </c>
      <c r="AA20" s="31">
        <f t="shared" si="17"/>
        <v>-87608939.525546715</v>
      </c>
      <c r="AB20" s="31">
        <f t="shared" si="17"/>
        <v>-88466134.08626239</v>
      </c>
      <c r="AC20" s="31">
        <f t="shared" si="17"/>
        <v>-89327145.325270087</v>
      </c>
      <c r="AD20" s="31">
        <f t="shared" si="17"/>
        <v>-90192009.099636123</v>
      </c>
      <c r="AE20" s="31">
        <f t="shared" si="17"/>
        <v>-91060761.41427283</v>
      </c>
      <c r="AF20" s="31">
        <f t="shared" si="17"/>
        <v>-91933438.423445866</v>
      </c>
      <c r="AG20" s="31">
        <f t="shared" si="17"/>
        <v>-93564519.112698406</v>
      </c>
      <c r="AH20" s="31">
        <f t="shared" si="17"/>
        <v>-94332648.77842328</v>
      </c>
      <c r="AI20" s="31">
        <f t="shared" ref="AI20:BJ20" si="18">-$T$2*AI19</f>
        <v>-95105674.502637476</v>
      </c>
      <c r="AJ20" s="31">
        <f t="shared" si="18"/>
        <v>-95883627.492817804</v>
      </c>
      <c r="AK20" s="31">
        <f t="shared" si="18"/>
        <v>-96666539.15535754</v>
      </c>
      <c r="AL20" s="31">
        <f t="shared" si="18"/>
        <v>-97454441.096834317</v>
      </c>
      <c r="AM20" s="31">
        <f t="shared" si="18"/>
        <v>-98247365.125286058</v>
      </c>
      <c r="AN20" s="31">
        <f t="shared" si="18"/>
        <v>-99045343.251495168</v>
      </c>
      <c r="AO20" s="31">
        <f t="shared" si="18"/>
        <v>-99848407.690280706</v>
      </c>
      <c r="AP20" s="31">
        <f t="shared" si="18"/>
        <v>-100656590.86179909</v>
      </c>
      <c r="AQ20" s="31">
        <f t="shared" si="18"/>
        <v>-101469925.39285272</v>
      </c>
      <c r="AR20" s="31">
        <f t="shared" si="18"/>
        <v>-102288444.11820728</v>
      </c>
      <c r="AS20" s="31">
        <f t="shared" si="18"/>
        <v>-103112180.08191726</v>
      </c>
      <c r="AT20" s="31">
        <f t="shared" si="18"/>
        <v>-103941166.53865992</v>
      </c>
      <c r="AU20" s="31">
        <f t="shared" si="18"/>
        <v>-104775436.95507784</v>
      </c>
      <c r="AV20" s="31">
        <f t="shared" si="18"/>
        <v>-105983291.70471801</v>
      </c>
      <c r="AW20" s="31">
        <f t="shared" si="18"/>
        <v>-106830578.62694441</v>
      </c>
      <c r="AX20" s="31">
        <f t="shared" si="18"/>
        <v>-107683266.15601309</v>
      </c>
      <c r="AY20" s="31">
        <f t="shared" si="18"/>
        <v>-108541388.71539202</v>
      </c>
      <c r="AZ20" s="31">
        <f t="shared" si="18"/>
        <v>-109404980.94796446</v>
      </c>
      <c r="BA20" s="31">
        <f t="shared" si="18"/>
        <v>-110274077.7174273</v>
      </c>
      <c r="BB20" s="31">
        <f t="shared" si="18"/>
        <v>-111148714.1096987</v>
      </c>
      <c r="BC20" s="31">
        <f t="shared" si="18"/>
        <v>-112028925.43433446</v>
      </c>
      <c r="BD20" s="31">
        <f t="shared" si="18"/>
        <v>-112914747.22595342</v>
      </c>
      <c r="BE20" s="31">
        <f t="shared" si="18"/>
        <v>-113806215.24567217</v>
      </c>
      <c r="BF20" s="31">
        <f t="shared" si="18"/>
        <v>-114703365.48254861</v>
      </c>
      <c r="BG20" s="31">
        <f t="shared" si="18"/>
        <v>-115606234.1550349</v>
      </c>
      <c r="BH20" s="31">
        <f t="shared" si="18"/>
        <v>-116514857.71243961</v>
      </c>
      <c r="BI20" s="31">
        <f t="shared" si="18"/>
        <v>-117429272.83639923</v>
      </c>
      <c r="BJ20" s="31">
        <f t="shared" si="18"/>
        <v>-118349516.44235896</v>
      </c>
    </row>
    <row r="21" spans="1:63" x14ac:dyDescent="0.3">
      <c r="A21" s="33" t="s">
        <v>75</v>
      </c>
      <c r="B21" s="34"/>
      <c r="C21" s="34">
        <f t="shared" ref="C21:AH21" si="19">C19+C20</f>
        <v>159683383.73528558</v>
      </c>
      <c r="D21" s="34">
        <f t="shared" si="19"/>
        <v>162897811.50190693</v>
      </c>
      <c r="E21" s="34">
        <f t="shared" si="19"/>
        <v>166084907.3745856</v>
      </c>
      <c r="F21" s="34">
        <f t="shared" si="19"/>
        <v>169245680.59476799</v>
      </c>
      <c r="G21" s="34">
        <f t="shared" si="19"/>
        <v>172381059.25583437</v>
      </c>
      <c r="H21" s="34">
        <f t="shared" si="19"/>
        <v>175491951.61615038</v>
      </c>
      <c r="I21" s="34">
        <f t="shared" si="19"/>
        <v>178579246.57772365</v>
      </c>
      <c r="J21" s="34">
        <f t="shared" si="19"/>
        <v>181643814.15369454</v>
      </c>
      <c r="K21" s="34">
        <f t="shared" si="19"/>
        <v>184686505.92492136</v>
      </c>
      <c r="L21" s="34">
        <f t="shared" si="19"/>
        <v>187708155.48591864</v>
      </c>
      <c r="M21" s="34">
        <f t="shared" si="19"/>
        <v>190709578.88039839</v>
      </c>
      <c r="N21" s="34">
        <f t="shared" si="19"/>
        <v>193691575.02665928</v>
      </c>
      <c r="O21" s="34">
        <f t="shared" si="19"/>
        <v>196654926.13306281</v>
      </c>
      <c r="P21" s="34">
        <f t="shared" si="19"/>
        <v>199600398.10382971</v>
      </c>
      <c r="Q21" s="34">
        <f t="shared" si="19"/>
        <v>202528740.93538582</v>
      </c>
      <c r="R21" s="34">
        <f t="shared" si="19"/>
        <v>206893647.53942755</v>
      </c>
      <c r="S21" s="34">
        <f t="shared" si="19"/>
        <v>209024175.0652279</v>
      </c>
      <c r="T21" s="34">
        <f t="shared" si="19"/>
        <v>211163748.35464975</v>
      </c>
      <c r="U21" s="34">
        <f t="shared" si="19"/>
        <v>213312456.80492219</v>
      </c>
      <c r="V21" s="34">
        <f t="shared" si="19"/>
        <v>215470390.16091561</v>
      </c>
      <c r="W21" s="34">
        <f t="shared" si="19"/>
        <v>217637638.51891255</v>
      </c>
      <c r="X21" s="34">
        <f t="shared" si="19"/>
        <v>219814292.3303923</v>
      </c>
      <c r="Y21" s="34">
        <f t="shared" si="19"/>
        <v>222000442.40582821</v>
      </c>
      <c r="Z21" s="34">
        <f t="shared" si="19"/>
        <v>224196179.91849881</v>
      </c>
      <c r="AA21" s="34">
        <f t="shared" si="19"/>
        <v>226401596.40831244</v>
      </c>
      <c r="AB21" s="34">
        <f t="shared" si="19"/>
        <v>228616783.78564578</v>
      </c>
      <c r="AC21" s="34">
        <f t="shared" si="19"/>
        <v>230841834.33519617</v>
      </c>
      <c r="AD21" s="34">
        <f t="shared" si="19"/>
        <v>233076840.71984816</v>
      </c>
      <c r="AE21" s="34">
        <f t="shared" si="19"/>
        <v>235321895.98455447</v>
      </c>
      <c r="AF21" s="34">
        <f t="shared" si="19"/>
        <v>237577093.56023103</v>
      </c>
      <c r="AG21" s="34">
        <f t="shared" si="19"/>
        <v>241792180.21596971</v>
      </c>
      <c r="AH21" s="34">
        <f t="shared" si="19"/>
        <v>243777203.47398987</v>
      </c>
      <c r="AI21" s="34">
        <f t="shared" ref="AI21:BJ21" si="20">AI19+AI20</f>
        <v>245774879.27025667</v>
      </c>
      <c r="AJ21" s="34">
        <f t="shared" si="20"/>
        <v>247785288.25204885</v>
      </c>
      <c r="AK21" s="34">
        <f t="shared" si="20"/>
        <v>249808511.58069098</v>
      </c>
      <c r="AL21" s="34">
        <f t="shared" si="20"/>
        <v>251844630.93482989</v>
      </c>
      <c r="AM21" s="34">
        <f t="shared" si="20"/>
        <v>253893728.51373208</v>
      </c>
      <c r="AN21" s="34">
        <f t="shared" si="20"/>
        <v>255955887.04060215</v>
      </c>
      <c r="AO21" s="34">
        <f t="shared" si="20"/>
        <v>258031189.76592252</v>
      </c>
      <c r="AP21" s="34">
        <f t="shared" si="20"/>
        <v>260119720.47081408</v>
      </c>
      <c r="AQ21" s="34">
        <f t="shared" si="20"/>
        <v>262221563.47041863</v>
      </c>
      <c r="AR21" s="34">
        <f t="shared" si="20"/>
        <v>264336803.61730266</v>
      </c>
      <c r="AS21" s="34">
        <f t="shared" si="20"/>
        <v>266465526.30488291</v>
      </c>
      <c r="AT21" s="34">
        <f t="shared" si="20"/>
        <v>268607817.47087377</v>
      </c>
      <c r="AU21" s="34">
        <f t="shared" si="20"/>
        <v>270763763.6007567</v>
      </c>
      <c r="AV21" s="34">
        <f t="shared" si="20"/>
        <v>273885137.34445047</v>
      </c>
      <c r="AW21" s="34">
        <f t="shared" si="20"/>
        <v>276074721.11120754</v>
      </c>
      <c r="AX21" s="34">
        <f t="shared" si="20"/>
        <v>278278261.28489399</v>
      </c>
      <c r="AY21" s="34">
        <f t="shared" si="20"/>
        <v>280495846.8236475</v>
      </c>
      <c r="AZ21" s="34">
        <f t="shared" si="20"/>
        <v>282727567.25262499</v>
      </c>
      <c r="BA21" s="34">
        <f t="shared" si="20"/>
        <v>284973512.66761672</v>
      </c>
      <c r="BB21" s="34">
        <f t="shared" si="20"/>
        <v>287233773.7386837</v>
      </c>
      <c r="BC21" s="34">
        <f t="shared" si="20"/>
        <v>289508441.71381766</v>
      </c>
      <c r="BD21" s="34">
        <f t="shared" si="20"/>
        <v>291797608.42262512</v>
      </c>
      <c r="BE21" s="34">
        <f t="shared" si="20"/>
        <v>294101366.28003448</v>
      </c>
      <c r="BF21" s="34">
        <f t="shared" si="20"/>
        <v>296419808.29002702</v>
      </c>
      <c r="BG21" s="34">
        <f t="shared" si="20"/>
        <v>298753028.04939121</v>
      </c>
      <c r="BH21" s="34">
        <f t="shared" si="20"/>
        <v>301101119.75150162</v>
      </c>
      <c r="BI21" s="34">
        <f t="shared" si="20"/>
        <v>303464178.19012129</v>
      </c>
      <c r="BJ21" s="34">
        <f t="shared" si="20"/>
        <v>305842298.76322865</v>
      </c>
    </row>
    <row r="22" spans="1:63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1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</row>
    <row r="23" spans="1:63" x14ac:dyDescent="0.3">
      <c r="A23" s="33" t="s">
        <v>76</v>
      </c>
      <c r="B23" s="34">
        <f>N2</f>
        <v>2141700000</v>
      </c>
      <c r="C23" s="34">
        <f t="shared" ref="C23:AH23" si="21">(ABS(C15))/(1+$V$2)^C6</f>
        <v>89876151.704364464</v>
      </c>
      <c r="D23" s="34">
        <f t="shared" si="21"/>
        <v>83585005.117179096</v>
      </c>
      <c r="E23" s="34">
        <f t="shared" si="21"/>
        <v>77734225.909225121</v>
      </c>
      <c r="F23" s="34">
        <f t="shared" si="21"/>
        <v>72292989.265660986</v>
      </c>
      <c r="G23" s="34">
        <f t="shared" si="21"/>
        <v>67232628.045566544</v>
      </c>
      <c r="H23" s="34">
        <f t="shared" si="21"/>
        <v>62526481.749186695</v>
      </c>
      <c r="I23" s="34">
        <f t="shared" si="21"/>
        <v>58149756.057158627</v>
      </c>
      <c r="J23" s="34">
        <f t="shared" si="21"/>
        <v>54079392.201705635</v>
      </c>
      <c r="K23" s="34">
        <f t="shared" si="21"/>
        <v>50293945.481579795</v>
      </c>
      <c r="L23" s="34">
        <f t="shared" si="21"/>
        <v>46773472.280709952</v>
      </c>
      <c r="M23" s="34">
        <f t="shared" si="21"/>
        <v>43499424.995313026</v>
      </c>
      <c r="N23" s="34">
        <f t="shared" si="21"/>
        <v>40454554.315892294</v>
      </c>
      <c r="O23" s="34">
        <f t="shared" si="21"/>
        <v>37622818.349295802</v>
      </c>
      <c r="P23" s="34">
        <f t="shared" si="21"/>
        <v>34989298.10204459</v>
      </c>
      <c r="Q23" s="34">
        <f t="shared" si="21"/>
        <v>32540118.879654709</v>
      </c>
      <c r="R23" s="34">
        <f t="shared" si="21"/>
        <v>30773654.051307514</v>
      </c>
      <c r="S23" s="34">
        <f t="shared" si="21"/>
        <v>29103084.259950817</v>
      </c>
      <c r="T23" s="34">
        <f t="shared" si="21"/>
        <v>27523202.542982057</v>
      </c>
      <c r="U23" s="34">
        <f t="shared" si="21"/>
        <v>26029085.833505888</v>
      </c>
      <c r="V23" s="34">
        <f t="shared" si="21"/>
        <v>24616078.316829853</v>
      </c>
      <c r="W23" s="34">
        <f t="shared" si="21"/>
        <v>23279776.922487661</v>
      </c>
      <c r="X23" s="34">
        <f t="shared" si="21"/>
        <v>22016017.603838336</v>
      </c>
      <c r="Y23" s="34">
        <f t="shared" si="21"/>
        <v>20820862.362487104</v>
      </c>
      <c r="Z23" s="34">
        <f t="shared" si="21"/>
        <v>19690586.977094952</v>
      </c>
      <c r="AA23" s="34">
        <f t="shared" si="21"/>
        <v>18621669.398338366</v>
      </c>
      <c r="AB23" s="34">
        <f t="shared" si="21"/>
        <v>17610778.773857143</v>
      </c>
      <c r="AC23" s="34">
        <f t="shared" si="21"/>
        <v>16654765.068990611</v>
      </c>
      <c r="AD23" s="34">
        <f t="shared" si="21"/>
        <v>15750649.250959694</v>
      </c>
      <c r="AE23" s="34">
        <f t="shared" si="21"/>
        <v>14895614.005907591</v>
      </c>
      <c r="AF23" s="34">
        <f t="shared" si="21"/>
        <v>14086994.959872615</v>
      </c>
      <c r="AG23" s="34">
        <f t="shared" si="21"/>
        <v>13416185.676069152</v>
      </c>
      <c r="AH23" s="34">
        <f t="shared" si="21"/>
        <v>12777319.691494431</v>
      </c>
      <c r="AI23" s="34">
        <f t="shared" ref="AI23:BJ23" si="22">(ABS(AI15))/(1+$V$2)^AI6</f>
        <v>12168875.896661362</v>
      </c>
      <c r="AJ23" s="34">
        <f t="shared" si="22"/>
        <v>11589405.615867965</v>
      </c>
      <c r="AK23" s="34">
        <f t="shared" si="22"/>
        <v>11037529.157969488</v>
      </c>
      <c r="AL23" s="34">
        <f t="shared" si="22"/>
        <v>10511932.531399515</v>
      </c>
      <c r="AM23" s="34">
        <f t="shared" si="22"/>
        <v>10011364.315618584</v>
      </c>
      <c r="AN23" s="34">
        <f t="shared" si="22"/>
        <v>9534632.6815415099</v>
      </c>
      <c r="AO23" s="34">
        <f t="shared" si="22"/>
        <v>9080602.5538490545</v>
      </c>
      <c r="AP23" s="34">
        <f t="shared" si="22"/>
        <v>8648192.9084276725</v>
      </c>
      <c r="AQ23" s="34">
        <f t="shared" si="22"/>
        <v>8236374.1985025452</v>
      </c>
      <c r="AR23" s="34">
        <f t="shared" si="22"/>
        <v>7844165.9033357576</v>
      </c>
      <c r="AS23" s="34">
        <f t="shared" si="22"/>
        <v>7470634.1936531011</v>
      </c>
      <c r="AT23" s="34">
        <f t="shared" si="22"/>
        <v>7114889.7082410492</v>
      </c>
      <c r="AU23" s="34">
        <f t="shared" si="22"/>
        <v>6776085.4364200458</v>
      </c>
      <c r="AV23" s="34">
        <f t="shared" si="22"/>
        <v>6453414.7013524259</v>
      </c>
      <c r="AW23" s="34">
        <f t="shared" si="22"/>
        <v>6146109.2393832617</v>
      </c>
      <c r="AX23" s="34">
        <f t="shared" si="22"/>
        <v>5853437.3708412014</v>
      </c>
      <c r="AY23" s="34">
        <f t="shared" si="22"/>
        <v>5574702.2579440009</v>
      </c>
      <c r="AZ23" s="34">
        <f t="shared" si="22"/>
        <v>5309240.2456609532</v>
      </c>
      <c r="BA23" s="34">
        <f t="shared" si="22"/>
        <v>5056419.28158186</v>
      </c>
      <c r="BB23" s="34">
        <f t="shared" si="22"/>
        <v>4815637.4110303428</v>
      </c>
      <c r="BC23" s="34">
        <f t="shared" si="22"/>
        <v>4586321.3438384226</v>
      </c>
      <c r="BD23" s="34">
        <f t="shared" si="22"/>
        <v>4367925.0893699266</v>
      </c>
      <c r="BE23" s="34">
        <f t="shared" si="22"/>
        <v>4159928.6565427864</v>
      </c>
      <c r="BF23" s="34">
        <f t="shared" si="22"/>
        <v>3961836.8157550353</v>
      </c>
      <c r="BG23" s="34">
        <f t="shared" si="22"/>
        <v>3773177.9197666999</v>
      </c>
      <c r="BH23" s="34">
        <f t="shared" si="22"/>
        <v>3593502.7807301898</v>
      </c>
      <c r="BI23" s="34">
        <f t="shared" si="22"/>
        <v>3422383.6006954187</v>
      </c>
      <c r="BJ23" s="34">
        <f t="shared" si="22"/>
        <v>3259412.9530432564</v>
      </c>
      <c r="BK23" s="22">
        <f>SUM(B23:BJ23)</f>
        <v>3531374722.9195342</v>
      </c>
    </row>
    <row r="24" spans="1:63" x14ac:dyDescent="0.3">
      <c r="A24" s="33" t="s">
        <v>77</v>
      </c>
      <c r="B24" s="36"/>
      <c r="C24" s="36">
        <f t="shared" ref="C24:AH24" si="23">($B$3+$B$2)*1000/((1+$V$2)^C6)</f>
        <v>2894304000</v>
      </c>
      <c r="D24" s="36">
        <f t="shared" si="23"/>
        <v>2756480000</v>
      </c>
      <c r="E24" s="36">
        <f t="shared" si="23"/>
        <v>2625219047.6190472</v>
      </c>
      <c r="F24" s="36">
        <f t="shared" si="23"/>
        <v>2500208616.7800455</v>
      </c>
      <c r="G24" s="36">
        <f t="shared" si="23"/>
        <v>2381151063.6000428</v>
      </c>
      <c r="H24" s="36">
        <f t="shared" si="23"/>
        <v>2267762917.7143269</v>
      </c>
      <c r="I24" s="36">
        <f t="shared" si="23"/>
        <v>2159774207.3469777</v>
      </c>
      <c r="J24" s="36">
        <f t="shared" si="23"/>
        <v>2056927816.5209312</v>
      </c>
      <c r="K24" s="36">
        <f t="shared" si="23"/>
        <v>1958978872.8770773</v>
      </c>
      <c r="L24" s="36">
        <f t="shared" si="23"/>
        <v>1865694164.6448355</v>
      </c>
      <c r="M24" s="36">
        <f t="shared" si="23"/>
        <v>1776851585.3760338</v>
      </c>
      <c r="N24" s="36">
        <f t="shared" si="23"/>
        <v>1692239605.1200323</v>
      </c>
      <c r="O24" s="36">
        <f t="shared" si="23"/>
        <v>1611656766.780983</v>
      </c>
      <c r="P24" s="36">
        <f t="shared" si="23"/>
        <v>1534911206.4580793</v>
      </c>
      <c r="Q24" s="36">
        <f t="shared" si="23"/>
        <v>1461820196.6267416</v>
      </c>
      <c r="R24" s="36">
        <f t="shared" si="23"/>
        <v>1392209711.0730875</v>
      </c>
      <c r="S24" s="36">
        <f t="shared" si="23"/>
        <v>1325914010.5457973</v>
      </c>
      <c r="T24" s="36">
        <f t="shared" si="23"/>
        <v>1262775248.1388547</v>
      </c>
      <c r="U24" s="36">
        <f t="shared" si="23"/>
        <v>1202643093.4655759</v>
      </c>
      <c r="V24" s="36">
        <f t="shared" si="23"/>
        <v>1145374374.72912</v>
      </c>
      <c r="W24" s="36">
        <f t="shared" si="23"/>
        <v>1090832737.8372571</v>
      </c>
      <c r="X24" s="36">
        <f t="shared" si="23"/>
        <v>1038888321.7497687</v>
      </c>
      <c r="Y24" s="36">
        <f t="shared" si="23"/>
        <v>989417449.28549385</v>
      </c>
      <c r="Z24" s="36">
        <f t="shared" si="23"/>
        <v>942302332.65285146</v>
      </c>
      <c r="AA24" s="36">
        <f t="shared" si="23"/>
        <v>897430793.00271559</v>
      </c>
      <c r="AB24" s="36">
        <f t="shared" si="23"/>
        <v>854695993.33591962</v>
      </c>
      <c r="AC24" s="36">
        <f t="shared" si="23"/>
        <v>813996184.12944722</v>
      </c>
      <c r="AD24" s="36">
        <f t="shared" si="23"/>
        <v>775234461.07566404</v>
      </c>
      <c r="AE24" s="36">
        <f t="shared" si="23"/>
        <v>738318534.35777521</v>
      </c>
      <c r="AF24" s="36">
        <f t="shared" si="23"/>
        <v>703160508.91216707</v>
      </c>
      <c r="AG24" s="36">
        <f t="shared" si="23"/>
        <v>669676675.15444458</v>
      </c>
      <c r="AH24" s="36">
        <f t="shared" si="23"/>
        <v>637787309.67089963</v>
      </c>
      <c r="AI24" s="36">
        <f t="shared" ref="AI24:BJ24" si="24">($B$3+$B$2)*1000/((1+$V$2)^AI6)</f>
        <v>607416485.40085685</v>
      </c>
      <c r="AJ24" s="36">
        <f t="shared" si="24"/>
        <v>578491890.85795891</v>
      </c>
      <c r="AK24" s="36">
        <f t="shared" si="24"/>
        <v>550944657.9599607</v>
      </c>
      <c r="AL24" s="36">
        <f t="shared" si="24"/>
        <v>524709198.05710554</v>
      </c>
      <c r="AM24" s="36">
        <f t="shared" si="24"/>
        <v>499723045.76867193</v>
      </c>
      <c r="AN24" s="36">
        <f t="shared" si="24"/>
        <v>475926710.25587809</v>
      </c>
      <c r="AO24" s="36">
        <f t="shared" si="24"/>
        <v>453263533.57702667</v>
      </c>
      <c r="AP24" s="36">
        <f t="shared" si="24"/>
        <v>431679555.78764451</v>
      </c>
      <c r="AQ24" s="36">
        <f t="shared" si="24"/>
        <v>411123386.4644233</v>
      </c>
      <c r="AR24" s="36">
        <f t="shared" si="24"/>
        <v>391546082.3470698</v>
      </c>
      <c r="AS24" s="36">
        <f t="shared" si="24"/>
        <v>372901030.80673313</v>
      </c>
      <c r="AT24" s="36">
        <f t="shared" si="24"/>
        <v>355143838.86355537</v>
      </c>
      <c r="AU24" s="36">
        <f t="shared" si="24"/>
        <v>338232227.48910028</v>
      </c>
      <c r="AV24" s="36">
        <f t="shared" si="24"/>
        <v>322125930.94200033</v>
      </c>
      <c r="AW24" s="36">
        <f t="shared" si="24"/>
        <v>306786600.89714313</v>
      </c>
      <c r="AX24" s="36">
        <f t="shared" si="24"/>
        <v>292177715.1401363</v>
      </c>
      <c r="AY24" s="36">
        <f t="shared" si="24"/>
        <v>278264490.60965359</v>
      </c>
      <c r="AZ24" s="36">
        <f t="shared" si="24"/>
        <v>265013800.58062249</v>
      </c>
      <c r="BA24" s="36">
        <f t="shared" si="24"/>
        <v>252394095.79106903</v>
      </c>
      <c r="BB24" s="36">
        <f t="shared" si="24"/>
        <v>240375329.32482764</v>
      </c>
      <c r="BC24" s="36">
        <f t="shared" si="24"/>
        <v>228928885.07126445</v>
      </c>
      <c r="BD24" s="36">
        <f t="shared" si="24"/>
        <v>218027509.59168044</v>
      </c>
      <c r="BE24" s="36">
        <f t="shared" si="24"/>
        <v>207645247.2301718</v>
      </c>
      <c r="BF24" s="36">
        <f t="shared" si="24"/>
        <v>197757378.31444937</v>
      </c>
      <c r="BG24" s="36">
        <f t="shared" si="24"/>
        <v>188340360.29947558</v>
      </c>
      <c r="BH24" s="36">
        <f t="shared" si="24"/>
        <v>179371771.71378624</v>
      </c>
      <c r="BI24" s="36">
        <f t="shared" si="24"/>
        <v>170830258.77503452</v>
      </c>
      <c r="BJ24" s="36">
        <f t="shared" si="24"/>
        <v>162695484.54765195</v>
      </c>
      <c r="BK24" s="26">
        <f>SUM(C24:BJ24)</f>
        <v>57526474309.046944</v>
      </c>
    </row>
    <row r="25" spans="1:63" x14ac:dyDescent="0.3">
      <c r="A25" s="33" t="s">
        <v>78</v>
      </c>
      <c r="B25" s="37">
        <f>BK23/BK24</f>
        <v>6.138694862382988E-2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</row>
    <row r="26" spans="1:63" x14ac:dyDescent="0.3">
      <c r="A26" s="30"/>
      <c r="B26" s="72" t="s">
        <v>49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 t="s">
        <v>50</v>
      </c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 t="s">
        <v>51</v>
      </c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 t="s">
        <v>52</v>
      </c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28" t="s">
        <v>59</v>
      </c>
    </row>
    <row r="27" spans="1:63" x14ac:dyDescent="0.3">
      <c r="A27" s="33"/>
      <c r="B27" s="27">
        <v>0</v>
      </c>
      <c r="C27" s="27">
        <v>1</v>
      </c>
      <c r="D27" s="27">
        <v>2</v>
      </c>
      <c r="E27" s="27">
        <v>3</v>
      </c>
      <c r="F27" s="27">
        <v>4</v>
      </c>
      <c r="G27" s="27">
        <v>5</v>
      </c>
      <c r="H27" s="27">
        <v>6</v>
      </c>
      <c r="I27" s="27">
        <v>7</v>
      </c>
      <c r="J27" s="27">
        <v>8</v>
      </c>
      <c r="K27" s="27">
        <v>9</v>
      </c>
      <c r="L27" s="27">
        <v>10</v>
      </c>
      <c r="M27" s="27">
        <v>11</v>
      </c>
      <c r="N27" s="27">
        <v>12</v>
      </c>
      <c r="O27" s="27">
        <v>13</v>
      </c>
      <c r="P27" s="27">
        <v>14</v>
      </c>
      <c r="Q27" s="27">
        <v>15</v>
      </c>
      <c r="R27" s="27">
        <v>16</v>
      </c>
      <c r="S27" s="27">
        <v>17</v>
      </c>
      <c r="T27" s="27">
        <v>18</v>
      </c>
      <c r="U27" s="27">
        <v>19</v>
      </c>
      <c r="V27" s="27">
        <v>20</v>
      </c>
      <c r="W27" s="27">
        <v>21</v>
      </c>
      <c r="X27" s="27">
        <v>22</v>
      </c>
      <c r="Y27" s="27">
        <v>23</v>
      </c>
      <c r="Z27" s="27">
        <v>24</v>
      </c>
      <c r="AA27" s="27">
        <v>25</v>
      </c>
      <c r="AB27" s="27">
        <v>26</v>
      </c>
      <c r="AC27" s="27">
        <v>27</v>
      </c>
      <c r="AD27" s="27">
        <v>28</v>
      </c>
      <c r="AE27" s="27">
        <v>29</v>
      </c>
      <c r="AF27" s="27">
        <v>30</v>
      </c>
      <c r="AG27" s="27">
        <v>31</v>
      </c>
      <c r="AH27" s="27">
        <v>32</v>
      </c>
      <c r="AI27" s="27">
        <v>33</v>
      </c>
      <c r="AJ27" s="27">
        <v>34</v>
      </c>
      <c r="AK27" s="27">
        <v>35</v>
      </c>
      <c r="AL27" s="27">
        <v>36</v>
      </c>
      <c r="AM27" s="27">
        <v>37</v>
      </c>
      <c r="AN27" s="27">
        <v>38</v>
      </c>
      <c r="AO27" s="27">
        <v>39</v>
      </c>
      <c r="AP27" s="27">
        <v>40</v>
      </c>
      <c r="AQ27" s="27">
        <v>41</v>
      </c>
      <c r="AR27" s="27">
        <v>42</v>
      </c>
      <c r="AS27" s="27">
        <v>43</v>
      </c>
      <c r="AT27" s="27">
        <v>44</v>
      </c>
      <c r="AU27" s="27">
        <v>45</v>
      </c>
      <c r="AV27" s="27">
        <v>46</v>
      </c>
      <c r="AW27" s="27">
        <v>47</v>
      </c>
      <c r="AX27" s="27">
        <v>48</v>
      </c>
      <c r="AY27" s="27">
        <v>49</v>
      </c>
      <c r="AZ27" s="27">
        <v>50</v>
      </c>
      <c r="BA27" s="27">
        <v>51</v>
      </c>
      <c r="BB27" s="27">
        <v>52</v>
      </c>
      <c r="BC27" s="27">
        <v>53</v>
      </c>
      <c r="BD27" s="27">
        <v>54</v>
      </c>
      <c r="BE27" s="27">
        <v>55</v>
      </c>
      <c r="BF27" s="27">
        <v>56</v>
      </c>
      <c r="BG27" s="27">
        <v>57</v>
      </c>
      <c r="BH27" s="27">
        <v>58</v>
      </c>
      <c r="BI27" s="27">
        <v>59</v>
      </c>
      <c r="BJ27" s="27">
        <v>60</v>
      </c>
    </row>
    <row r="28" spans="1:63" x14ac:dyDescent="0.3">
      <c r="A28" s="29" t="s">
        <v>79</v>
      </c>
      <c r="B28" s="29">
        <v>2025</v>
      </c>
      <c r="C28" s="29">
        <v>2026</v>
      </c>
      <c r="D28" s="29">
        <v>2027</v>
      </c>
      <c r="E28" s="29">
        <v>2028</v>
      </c>
      <c r="F28" s="29">
        <v>2029</v>
      </c>
      <c r="G28" s="29">
        <v>2030</v>
      </c>
      <c r="H28" s="29">
        <v>2031</v>
      </c>
      <c r="I28" s="29">
        <v>2032</v>
      </c>
      <c r="J28" s="29">
        <v>2033</v>
      </c>
      <c r="K28" s="29">
        <v>2034</v>
      </c>
      <c r="L28" s="29">
        <v>2035</v>
      </c>
      <c r="M28" s="29">
        <v>2036</v>
      </c>
      <c r="N28" s="29">
        <v>2037</v>
      </c>
      <c r="O28" s="29">
        <v>2038</v>
      </c>
      <c r="P28" s="29">
        <v>2039</v>
      </c>
      <c r="Q28" s="29">
        <v>2040</v>
      </c>
      <c r="R28" s="29">
        <v>2041</v>
      </c>
      <c r="S28" s="29">
        <v>2042</v>
      </c>
      <c r="T28" s="29">
        <v>2043</v>
      </c>
      <c r="U28" s="29">
        <v>2044</v>
      </c>
      <c r="V28" s="29">
        <v>2045</v>
      </c>
      <c r="W28" s="29">
        <v>2046</v>
      </c>
      <c r="X28" s="29">
        <v>2047</v>
      </c>
      <c r="Y28" s="29">
        <v>2048</v>
      </c>
      <c r="Z28" s="29">
        <v>2049</v>
      </c>
      <c r="AA28" s="29">
        <v>2050</v>
      </c>
      <c r="AB28" s="29">
        <v>2051</v>
      </c>
      <c r="AC28" s="29">
        <v>2052</v>
      </c>
      <c r="AD28" s="29">
        <v>2053</v>
      </c>
      <c r="AE28" s="29">
        <v>2054</v>
      </c>
      <c r="AF28" s="29">
        <v>2055</v>
      </c>
      <c r="AG28" s="29">
        <v>2056</v>
      </c>
      <c r="AH28" s="29">
        <v>2057</v>
      </c>
      <c r="AI28" s="29">
        <v>2058</v>
      </c>
      <c r="AJ28" s="29">
        <v>2059</v>
      </c>
      <c r="AK28" s="29">
        <v>2060</v>
      </c>
      <c r="AL28" s="29">
        <v>2061</v>
      </c>
      <c r="AM28" s="29">
        <v>2062</v>
      </c>
      <c r="AN28" s="29">
        <v>2063</v>
      </c>
      <c r="AO28" s="29">
        <v>2064</v>
      </c>
      <c r="AP28" s="29">
        <v>2065</v>
      </c>
      <c r="AQ28" s="29">
        <v>2066</v>
      </c>
      <c r="AR28" s="29">
        <v>2067</v>
      </c>
      <c r="AS28" s="29">
        <v>2068</v>
      </c>
      <c r="AT28" s="29">
        <v>2069</v>
      </c>
      <c r="AU28" s="29">
        <v>2070</v>
      </c>
      <c r="AV28" s="29">
        <v>2071</v>
      </c>
      <c r="AW28" s="29">
        <v>2072</v>
      </c>
      <c r="AX28" s="29">
        <v>2073</v>
      </c>
      <c r="AY28" s="29">
        <v>2074</v>
      </c>
      <c r="AZ28" s="29">
        <v>2075</v>
      </c>
      <c r="BA28" s="29">
        <v>2076</v>
      </c>
      <c r="BB28" s="29">
        <v>2077</v>
      </c>
      <c r="BC28" s="29">
        <v>2078</v>
      </c>
      <c r="BD28" s="29">
        <v>2079</v>
      </c>
      <c r="BE28" s="29">
        <v>2080</v>
      </c>
      <c r="BF28" s="29">
        <v>2081</v>
      </c>
      <c r="BG28" s="29">
        <v>2082</v>
      </c>
      <c r="BH28" s="29">
        <v>2083</v>
      </c>
      <c r="BI28" s="29">
        <v>2084</v>
      </c>
      <c r="BJ28" s="29">
        <v>2085</v>
      </c>
    </row>
    <row r="29" spans="1:63" x14ac:dyDescent="0.3">
      <c r="A29" s="33" t="s">
        <v>71</v>
      </c>
      <c r="B29" s="38"/>
      <c r="C29" s="39">
        <f t="shared" ref="C29:AH29" si="25">C17</f>
        <v>257169873.41925877</v>
      </c>
      <c r="D29" s="39">
        <f t="shared" si="25"/>
        <v>261628164.35770726</v>
      </c>
      <c r="E29" s="39">
        <f t="shared" si="25"/>
        <v>266048546.98278171</v>
      </c>
      <c r="F29" s="39">
        <f t="shared" si="25"/>
        <v>270432421.07457417</v>
      </c>
      <c r="G29" s="39">
        <f t="shared" si="25"/>
        <v>274781073.86384797</v>
      </c>
      <c r="H29" s="39">
        <f t="shared" si="25"/>
        <v>279095765.07094365</v>
      </c>
      <c r="I29" s="39">
        <f t="shared" si="25"/>
        <v>283377727.56965834</v>
      </c>
      <c r="J29" s="39">
        <f t="shared" si="25"/>
        <v>287628168.03563738</v>
      </c>
      <c r="K29" s="39">
        <f t="shared" si="25"/>
        <v>291848267.57964128</v>
      </c>
      <c r="L29" s="39">
        <f t="shared" si="25"/>
        <v>296039182.3660453</v>
      </c>
      <c r="M29" s="39">
        <f t="shared" si="25"/>
        <v>300202044.21691871</v>
      </c>
      <c r="N29" s="39">
        <f t="shared" si="25"/>
        <v>304337961.20202398</v>
      </c>
      <c r="O29" s="39">
        <f t="shared" si="25"/>
        <v>308448018.21506631</v>
      </c>
      <c r="P29" s="39">
        <f t="shared" si="25"/>
        <v>312533277.53651834</v>
      </c>
      <c r="Q29" s="39">
        <f t="shared" si="25"/>
        <v>316594779.38333678</v>
      </c>
      <c r="R29" s="39">
        <f t="shared" si="25"/>
        <v>322648741.3861686</v>
      </c>
      <c r="S29" s="39">
        <f t="shared" si="25"/>
        <v>325603703.28048253</v>
      </c>
      <c r="T29" s="39">
        <f t="shared" si="25"/>
        <v>328571211.31019384</v>
      </c>
      <c r="U29" s="39">
        <f t="shared" si="25"/>
        <v>331551389.46591151</v>
      </c>
      <c r="V29" s="39">
        <f t="shared" si="25"/>
        <v>334544362.22040999</v>
      </c>
      <c r="W29" s="39">
        <f t="shared" si="25"/>
        <v>337550254.53385931</v>
      </c>
      <c r="X29" s="39">
        <f t="shared" si="25"/>
        <v>340569191.85907394</v>
      </c>
      <c r="Y29" s="39">
        <f t="shared" si="25"/>
        <v>343601300.14677978</v>
      </c>
      <c r="Z29" s="39">
        <f t="shared" si="25"/>
        <v>346646705.85089988</v>
      </c>
      <c r="AA29" s="39">
        <f t="shared" si="25"/>
        <v>349705535.93385917</v>
      </c>
      <c r="AB29" s="39">
        <f t="shared" si="25"/>
        <v>352777917.87190819</v>
      </c>
      <c r="AC29" s="39">
        <f t="shared" si="25"/>
        <v>355863979.66046625</v>
      </c>
      <c r="AD29" s="39">
        <f t="shared" si="25"/>
        <v>358963849.81948429</v>
      </c>
      <c r="AE29" s="39">
        <f t="shared" si="25"/>
        <v>362077657.39882731</v>
      </c>
      <c r="AF29" s="39">
        <f t="shared" si="25"/>
        <v>365205531.98367691</v>
      </c>
      <c r="AG29" s="39">
        <f t="shared" si="25"/>
        <v>371051699.32866812</v>
      </c>
      <c r="AH29" s="39">
        <f t="shared" si="25"/>
        <v>373804852.25241315</v>
      </c>
      <c r="AI29" s="39">
        <f t="shared" ref="AI29:BJ29" si="26">AI17</f>
        <v>376575553.77289414</v>
      </c>
      <c r="AJ29" s="39">
        <f t="shared" si="26"/>
        <v>379363915.74486667</v>
      </c>
      <c r="AK29" s="39">
        <f t="shared" si="26"/>
        <v>382170050.73604852</v>
      </c>
      <c r="AL29" s="39">
        <f t="shared" si="26"/>
        <v>384994072.03166419</v>
      </c>
      <c r="AM29" s="39">
        <f t="shared" si="26"/>
        <v>387836093.63901812</v>
      </c>
      <c r="AN29" s="39">
        <f t="shared" si="26"/>
        <v>390696230.29209733</v>
      </c>
      <c r="AO29" s="39">
        <f t="shared" si="26"/>
        <v>393574597.45620322</v>
      </c>
      <c r="AP29" s="39">
        <f t="shared" si="26"/>
        <v>396471311.33261317</v>
      </c>
      <c r="AQ29" s="39">
        <f t="shared" si="26"/>
        <v>399386488.86327136</v>
      </c>
      <c r="AR29" s="39">
        <f t="shared" si="26"/>
        <v>402320247.73550993</v>
      </c>
      <c r="AS29" s="39">
        <f t="shared" si="26"/>
        <v>405272706.38680017</v>
      </c>
      <c r="AT29" s="39">
        <f t="shared" si="26"/>
        <v>408243984.0095337</v>
      </c>
      <c r="AU29" s="39">
        <f t="shared" si="26"/>
        <v>411234200.55583453</v>
      </c>
      <c r="AV29" s="39">
        <f t="shared" si="26"/>
        <v>415563429.04916847</v>
      </c>
      <c r="AW29" s="39">
        <f t="shared" si="26"/>
        <v>418600299.73815197</v>
      </c>
      <c r="AX29" s="39">
        <f t="shared" si="26"/>
        <v>421656527.44090706</v>
      </c>
      <c r="AY29" s="39">
        <f t="shared" si="26"/>
        <v>424732235.53903949</v>
      </c>
      <c r="AZ29" s="39">
        <f t="shared" si="26"/>
        <v>427827548.20058942</v>
      </c>
      <c r="BA29" s="39">
        <f t="shared" si="26"/>
        <v>430942590.38504404</v>
      </c>
      <c r="BB29" s="39">
        <f t="shared" si="26"/>
        <v>434077487.84838241</v>
      </c>
      <c r="BC29" s="39">
        <f t="shared" si="26"/>
        <v>437232367.14815211</v>
      </c>
      <c r="BD29" s="39">
        <f t="shared" si="26"/>
        <v>440407355.64857852</v>
      </c>
      <c r="BE29" s="39">
        <f t="shared" si="26"/>
        <v>443602581.52570665</v>
      </c>
      <c r="BF29" s="39">
        <f t="shared" si="26"/>
        <v>446818173.77257562</v>
      </c>
      <c r="BG29" s="39">
        <f t="shared" si="26"/>
        <v>450054262.20442611</v>
      </c>
      <c r="BH29" s="39">
        <f t="shared" si="26"/>
        <v>453310977.46394122</v>
      </c>
      <c r="BI29" s="39">
        <f t="shared" si="26"/>
        <v>456588451.02652049</v>
      </c>
      <c r="BJ29" s="39">
        <f t="shared" si="26"/>
        <v>459886815.20558763</v>
      </c>
    </row>
    <row r="30" spans="1:63" x14ac:dyDescent="0.3">
      <c r="A30" s="27" t="s">
        <v>70</v>
      </c>
      <c r="B30" s="38">
        <f>-B23</f>
        <v>-2141700000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</row>
    <row r="31" spans="1:63" x14ac:dyDescent="0.3">
      <c r="A31" s="27" t="s">
        <v>74</v>
      </c>
      <c r="B31" s="38"/>
      <c r="C31" s="38">
        <f t="shared" ref="C31:AH31" si="27">C20</f>
        <v>-61791489.683973201</v>
      </c>
      <c r="D31" s="38">
        <f t="shared" si="27"/>
        <v>-63035352.855800331</v>
      </c>
      <c r="E31" s="38">
        <f t="shared" si="27"/>
        <v>-64268639.608196102</v>
      </c>
      <c r="F31" s="38">
        <f t="shared" si="27"/>
        <v>-65491740.4798062</v>
      </c>
      <c r="G31" s="38">
        <f t="shared" si="27"/>
        <v>-66705014.608013593</v>
      </c>
      <c r="H31" s="38">
        <f t="shared" si="27"/>
        <v>-67908813.454793289</v>
      </c>
      <c r="I31" s="38">
        <f t="shared" si="27"/>
        <v>-69103480.991934687</v>
      </c>
      <c r="J31" s="38">
        <f t="shared" si="27"/>
        <v>-70289353.881942838</v>
      </c>
      <c r="K31" s="38">
        <f t="shared" si="27"/>
        <v>-71466761.654719919</v>
      </c>
      <c r="L31" s="38">
        <f t="shared" si="27"/>
        <v>-72636026.88012664</v>
      </c>
      <c r="M31" s="38">
        <f t="shared" si="27"/>
        <v>-73797465.336520329</v>
      </c>
      <c r="N31" s="38">
        <f t="shared" si="27"/>
        <v>-74951386.175364703</v>
      </c>
      <c r="O31" s="38">
        <f t="shared" si="27"/>
        <v>-76098092.082003504</v>
      </c>
      <c r="P31" s="38">
        <f t="shared" si="27"/>
        <v>-77237879.432688624</v>
      </c>
      <c r="Q31" s="38">
        <f t="shared" si="27"/>
        <v>-78371038.447950974</v>
      </c>
      <c r="R31" s="38">
        <f t="shared" si="27"/>
        <v>-80060093.84674105</v>
      </c>
      <c r="S31" s="38">
        <f t="shared" si="27"/>
        <v>-80884528.215254635</v>
      </c>
      <c r="T31" s="38">
        <f t="shared" si="27"/>
        <v>-81712462.955544084</v>
      </c>
      <c r="U31" s="38">
        <f t="shared" si="27"/>
        <v>-82543932.660989314</v>
      </c>
      <c r="V31" s="38">
        <f t="shared" si="27"/>
        <v>-83378972.059494391</v>
      </c>
      <c r="W31" s="38">
        <f t="shared" si="27"/>
        <v>-84217616.014946759</v>
      </c>
      <c r="X31" s="38">
        <f t="shared" si="27"/>
        <v>-85059899.528681636</v>
      </c>
      <c r="Y31" s="38">
        <f t="shared" si="27"/>
        <v>-85905857.740951568</v>
      </c>
      <c r="Z31" s="38">
        <f t="shared" si="27"/>
        <v>-86755525.932401076</v>
      </c>
      <c r="AA31" s="38">
        <f t="shared" si="27"/>
        <v>-87608939.525546715</v>
      </c>
      <c r="AB31" s="38">
        <f t="shared" si="27"/>
        <v>-88466134.08626239</v>
      </c>
      <c r="AC31" s="38">
        <f t="shared" si="27"/>
        <v>-89327145.325270087</v>
      </c>
      <c r="AD31" s="38">
        <f t="shared" si="27"/>
        <v>-90192009.099636123</v>
      </c>
      <c r="AE31" s="38">
        <f t="shared" si="27"/>
        <v>-91060761.41427283</v>
      </c>
      <c r="AF31" s="38">
        <f t="shared" si="27"/>
        <v>-91933438.423445866</v>
      </c>
      <c r="AG31" s="38">
        <f t="shared" si="27"/>
        <v>-93564519.112698406</v>
      </c>
      <c r="AH31" s="38">
        <f t="shared" si="27"/>
        <v>-94332648.77842328</v>
      </c>
      <c r="AI31" s="38">
        <f t="shared" ref="AI31:BJ31" si="28">AI20</f>
        <v>-95105674.502637476</v>
      </c>
      <c r="AJ31" s="38">
        <f t="shared" si="28"/>
        <v>-95883627.492817804</v>
      </c>
      <c r="AK31" s="38">
        <f t="shared" si="28"/>
        <v>-96666539.15535754</v>
      </c>
      <c r="AL31" s="38">
        <f t="shared" si="28"/>
        <v>-97454441.096834317</v>
      </c>
      <c r="AM31" s="38">
        <f t="shared" si="28"/>
        <v>-98247365.125286058</v>
      </c>
      <c r="AN31" s="38">
        <f t="shared" si="28"/>
        <v>-99045343.251495168</v>
      </c>
      <c r="AO31" s="38">
        <f t="shared" si="28"/>
        <v>-99848407.690280706</v>
      </c>
      <c r="AP31" s="38">
        <f t="shared" si="28"/>
        <v>-100656590.86179909</v>
      </c>
      <c r="AQ31" s="38">
        <f t="shared" si="28"/>
        <v>-101469925.39285272</v>
      </c>
      <c r="AR31" s="38">
        <f t="shared" si="28"/>
        <v>-102288444.11820728</v>
      </c>
      <c r="AS31" s="38">
        <f t="shared" si="28"/>
        <v>-103112180.08191726</v>
      </c>
      <c r="AT31" s="38">
        <f t="shared" si="28"/>
        <v>-103941166.53865992</v>
      </c>
      <c r="AU31" s="38">
        <f t="shared" si="28"/>
        <v>-104775436.95507784</v>
      </c>
      <c r="AV31" s="38">
        <f t="shared" si="28"/>
        <v>-105983291.70471801</v>
      </c>
      <c r="AW31" s="38">
        <f t="shared" si="28"/>
        <v>-106830578.62694441</v>
      </c>
      <c r="AX31" s="38">
        <f t="shared" si="28"/>
        <v>-107683266.15601309</v>
      </c>
      <c r="AY31" s="38">
        <f t="shared" si="28"/>
        <v>-108541388.71539202</v>
      </c>
      <c r="AZ31" s="38">
        <f t="shared" si="28"/>
        <v>-109404980.94796446</v>
      </c>
      <c r="BA31" s="38">
        <f t="shared" si="28"/>
        <v>-110274077.7174273</v>
      </c>
      <c r="BB31" s="38">
        <f t="shared" si="28"/>
        <v>-111148714.1096987</v>
      </c>
      <c r="BC31" s="38">
        <f t="shared" si="28"/>
        <v>-112028925.43433446</v>
      </c>
      <c r="BD31" s="38">
        <f t="shared" si="28"/>
        <v>-112914747.22595342</v>
      </c>
      <c r="BE31" s="38">
        <f t="shared" si="28"/>
        <v>-113806215.24567217</v>
      </c>
      <c r="BF31" s="38">
        <f t="shared" si="28"/>
        <v>-114703365.48254861</v>
      </c>
      <c r="BG31" s="38">
        <f t="shared" si="28"/>
        <v>-115606234.1550349</v>
      </c>
      <c r="BH31" s="38">
        <f t="shared" si="28"/>
        <v>-116514857.71243961</v>
      </c>
      <c r="BI31" s="38">
        <f t="shared" si="28"/>
        <v>-117429272.83639923</v>
      </c>
      <c r="BJ31" s="38">
        <f t="shared" si="28"/>
        <v>-118349516.44235896</v>
      </c>
    </row>
    <row r="32" spans="1:63" x14ac:dyDescent="0.3">
      <c r="A32" s="33" t="s">
        <v>80</v>
      </c>
      <c r="B32" s="39">
        <f t="shared" ref="B32:AG32" si="29">SUM(B29:B31)</f>
        <v>-2141700000</v>
      </c>
      <c r="C32" s="39">
        <f t="shared" si="29"/>
        <v>195378383.73528558</v>
      </c>
      <c r="D32" s="39">
        <f t="shared" si="29"/>
        <v>198592811.50190693</v>
      </c>
      <c r="E32" s="39">
        <f t="shared" si="29"/>
        <v>201779907.3745856</v>
      </c>
      <c r="F32" s="39">
        <f t="shared" si="29"/>
        <v>204940680.59476799</v>
      </c>
      <c r="G32" s="39">
        <f t="shared" si="29"/>
        <v>208076059.25583437</v>
      </c>
      <c r="H32" s="39">
        <f t="shared" si="29"/>
        <v>211186951.61615038</v>
      </c>
      <c r="I32" s="39">
        <f t="shared" si="29"/>
        <v>214274246.57772365</v>
      </c>
      <c r="J32" s="39">
        <f t="shared" si="29"/>
        <v>217338814.15369454</v>
      </c>
      <c r="K32" s="39">
        <f t="shared" si="29"/>
        <v>220381505.92492136</v>
      </c>
      <c r="L32" s="39">
        <f t="shared" si="29"/>
        <v>223403155.48591864</v>
      </c>
      <c r="M32" s="39">
        <f t="shared" si="29"/>
        <v>226404578.88039839</v>
      </c>
      <c r="N32" s="39">
        <f t="shared" si="29"/>
        <v>229386575.02665928</v>
      </c>
      <c r="O32" s="39">
        <f t="shared" si="29"/>
        <v>232349926.13306281</v>
      </c>
      <c r="P32" s="39">
        <f t="shared" si="29"/>
        <v>235295398.10382971</v>
      </c>
      <c r="Q32" s="39">
        <f t="shared" si="29"/>
        <v>238223740.93538582</v>
      </c>
      <c r="R32" s="39">
        <f t="shared" si="29"/>
        <v>242588647.53942755</v>
      </c>
      <c r="S32" s="39">
        <f t="shared" si="29"/>
        <v>244719175.0652279</v>
      </c>
      <c r="T32" s="39">
        <f t="shared" si="29"/>
        <v>246858748.35464975</v>
      </c>
      <c r="U32" s="39">
        <f t="shared" si="29"/>
        <v>249007456.80492219</v>
      </c>
      <c r="V32" s="39">
        <f t="shared" si="29"/>
        <v>251165390.16091561</v>
      </c>
      <c r="W32" s="39">
        <f t="shared" si="29"/>
        <v>253332638.51891255</v>
      </c>
      <c r="X32" s="39">
        <f t="shared" si="29"/>
        <v>255509292.3303923</v>
      </c>
      <c r="Y32" s="39">
        <f t="shared" si="29"/>
        <v>257695442.40582821</v>
      </c>
      <c r="Z32" s="39">
        <f t="shared" si="29"/>
        <v>259891179.91849881</v>
      </c>
      <c r="AA32" s="39">
        <f t="shared" si="29"/>
        <v>262096596.40831244</v>
      </c>
      <c r="AB32" s="39">
        <f t="shared" si="29"/>
        <v>264311783.78564578</v>
      </c>
      <c r="AC32" s="39">
        <f t="shared" si="29"/>
        <v>266536834.33519617</v>
      </c>
      <c r="AD32" s="39">
        <f t="shared" si="29"/>
        <v>268771840.71984816</v>
      </c>
      <c r="AE32" s="39">
        <f t="shared" si="29"/>
        <v>271016895.98455447</v>
      </c>
      <c r="AF32" s="39">
        <f t="shared" si="29"/>
        <v>273272093.56023103</v>
      </c>
      <c r="AG32" s="39">
        <f t="shared" si="29"/>
        <v>277487180.21596968</v>
      </c>
      <c r="AH32" s="39">
        <f t="shared" ref="AH32:BJ32" si="30">SUM(AH29:AH31)</f>
        <v>279472203.47398984</v>
      </c>
      <c r="AI32" s="39">
        <f t="shared" si="30"/>
        <v>281469879.27025664</v>
      </c>
      <c r="AJ32" s="39">
        <f t="shared" si="30"/>
        <v>283480288.25204885</v>
      </c>
      <c r="AK32" s="39">
        <f t="shared" si="30"/>
        <v>285503511.58069098</v>
      </c>
      <c r="AL32" s="39">
        <f t="shared" si="30"/>
        <v>287539630.93482989</v>
      </c>
      <c r="AM32" s="39">
        <f t="shared" si="30"/>
        <v>289588728.51373208</v>
      </c>
      <c r="AN32" s="39">
        <f t="shared" si="30"/>
        <v>291650887.04060215</v>
      </c>
      <c r="AO32" s="39">
        <f t="shared" si="30"/>
        <v>293726189.76592255</v>
      </c>
      <c r="AP32" s="39">
        <f t="shared" si="30"/>
        <v>295814720.47081411</v>
      </c>
      <c r="AQ32" s="39">
        <f t="shared" si="30"/>
        <v>297916563.47041863</v>
      </c>
      <c r="AR32" s="39">
        <f t="shared" si="30"/>
        <v>300031803.61730266</v>
      </c>
      <c r="AS32" s="39">
        <f t="shared" si="30"/>
        <v>302160526.30488288</v>
      </c>
      <c r="AT32" s="39">
        <f t="shared" si="30"/>
        <v>304302817.47087377</v>
      </c>
      <c r="AU32" s="39">
        <f t="shared" si="30"/>
        <v>306458763.6007567</v>
      </c>
      <c r="AV32" s="39">
        <f t="shared" si="30"/>
        <v>309580137.34445047</v>
      </c>
      <c r="AW32" s="39">
        <f t="shared" si="30"/>
        <v>311769721.11120754</v>
      </c>
      <c r="AX32" s="39">
        <f t="shared" si="30"/>
        <v>313973261.28489399</v>
      </c>
      <c r="AY32" s="39">
        <f t="shared" si="30"/>
        <v>316190846.8236475</v>
      </c>
      <c r="AZ32" s="39">
        <f t="shared" si="30"/>
        <v>318422567.25262499</v>
      </c>
      <c r="BA32" s="39">
        <f t="shared" si="30"/>
        <v>320668512.66761672</v>
      </c>
      <c r="BB32" s="39">
        <f t="shared" si="30"/>
        <v>322928773.7386837</v>
      </c>
      <c r="BC32" s="39">
        <f t="shared" si="30"/>
        <v>325203441.71381766</v>
      </c>
      <c r="BD32" s="39">
        <f t="shared" si="30"/>
        <v>327492608.42262512</v>
      </c>
      <c r="BE32" s="39">
        <f t="shared" si="30"/>
        <v>329796366.28003448</v>
      </c>
      <c r="BF32" s="39">
        <f t="shared" si="30"/>
        <v>332114808.29002702</v>
      </c>
      <c r="BG32" s="39">
        <f t="shared" si="30"/>
        <v>334448028.04939121</v>
      </c>
      <c r="BH32" s="39">
        <f t="shared" si="30"/>
        <v>336796119.75150162</v>
      </c>
      <c r="BI32" s="39">
        <f t="shared" si="30"/>
        <v>339159178.19012129</v>
      </c>
      <c r="BJ32" s="39">
        <f t="shared" si="30"/>
        <v>341537298.76322865</v>
      </c>
    </row>
    <row r="33" spans="1:62" x14ac:dyDescent="0.3">
      <c r="A33" s="33" t="s">
        <v>81</v>
      </c>
      <c r="B33" s="39">
        <f>B32</f>
        <v>-2141700000</v>
      </c>
      <c r="C33" s="39">
        <f t="shared" ref="C33:P33" si="31">C32+B33</f>
        <v>-1946321616.2647145</v>
      </c>
      <c r="D33" s="39">
        <f t="shared" si="31"/>
        <v>-1747728804.7628076</v>
      </c>
      <c r="E33" s="39">
        <f t="shared" si="31"/>
        <v>-1545948897.388222</v>
      </c>
      <c r="F33" s="39">
        <f t="shared" si="31"/>
        <v>-1341008216.7934539</v>
      </c>
      <c r="G33" s="39">
        <f t="shared" si="31"/>
        <v>-1132932157.5376196</v>
      </c>
      <c r="H33" s="39">
        <f t="shared" si="31"/>
        <v>-921745205.92146921</v>
      </c>
      <c r="I33" s="39">
        <f t="shared" si="31"/>
        <v>-707470959.34374559</v>
      </c>
      <c r="J33" s="39">
        <f t="shared" si="31"/>
        <v>-490132145.19005108</v>
      </c>
      <c r="K33" s="39">
        <f t="shared" si="31"/>
        <v>-269750639.26512969</v>
      </c>
      <c r="L33" s="39">
        <f t="shared" si="31"/>
        <v>-46347483.779211044</v>
      </c>
      <c r="M33" s="39">
        <f t="shared" si="31"/>
        <v>180057095.10118735</v>
      </c>
      <c r="N33" s="39">
        <f t="shared" si="31"/>
        <v>409443670.1278466</v>
      </c>
      <c r="O33" s="39">
        <f t="shared" si="31"/>
        <v>641793596.26090944</v>
      </c>
      <c r="P33" s="39">
        <f t="shared" si="31"/>
        <v>877088994.36473918</v>
      </c>
      <c r="Q33" s="39">
        <f>Q32</f>
        <v>238223740.93538582</v>
      </c>
      <c r="R33" s="39">
        <f t="shared" ref="R33:BJ33" si="32">R32+Q33</f>
        <v>480812388.47481334</v>
      </c>
      <c r="S33" s="39">
        <f t="shared" si="32"/>
        <v>725531563.54004121</v>
      </c>
      <c r="T33" s="39">
        <f t="shared" si="32"/>
        <v>972390311.89469099</v>
      </c>
      <c r="U33" s="39">
        <f t="shared" si="32"/>
        <v>1221397768.6996131</v>
      </c>
      <c r="V33" s="39">
        <f t="shared" si="32"/>
        <v>1472563158.8605287</v>
      </c>
      <c r="W33" s="39">
        <f t="shared" si="32"/>
        <v>1725895797.3794413</v>
      </c>
      <c r="X33" s="39">
        <f t="shared" si="32"/>
        <v>1981405089.7098336</v>
      </c>
      <c r="Y33" s="39">
        <f t="shared" si="32"/>
        <v>2239100532.1156616</v>
      </c>
      <c r="Z33" s="39">
        <f t="shared" si="32"/>
        <v>2498991712.0341606</v>
      </c>
      <c r="AA33" s="39">
        <f t="shared" si="32"/>
        <v>2761088308.4424729</v>
      </c>
      <c r="AB33" s="39">
        <f t="shared" si="32"/>
        <v>3025400092.2281189</v>
      </c>
      <c r="AC33" s="39">
        <f t="shared" si="32"/>
        <v>3291936926.5633149</v>
      </c>
      <c r="AD33" s="39">
        <f t="shared" si="32"/>
        <v>3560708767.2831631</v>
      </c>
      <c r="AE33" s="39">
        <f t="shared" si="32"/>
        <v>3831725663.2677174</v>
      </c>
      <c r="AF33" s="39">
        <f t="shared" si="32"/>
        <v>4104997756.8279486</v>
      </c>
      <c r="AG33" s="39">
        <f t="shared" si="32"/>
        <v>4382484937.0439186</v>
      </c>
      <c r="AH33" s="39">
        <f t="shared" si="32"/>
        <v>4661957140.5179081</v>
      </c>
      <c r="AI33" s="39">
        <f t="shared" si="32"/>
        <v>4943427019.7881651</v>
      </c>
      <c r="AJ33" s="39">
        <f t="shared" si="32"/>
        <v>5226907308.0402136</v>
      </c>
      <c r="AK33" s="39">
        <f t="shared" si="32"/>
        <v>5512410819.6209049</v>
      </c>
      <c r="AL33" s="39">
        <f t="shared" si="32"/>
        <v>5799950450.5557346</v>
      </c>
      <c r="AM33" s="39">
        <f t="shared" si="32"/>
        <v>6089539179.0694666</v>
      </c>
      <c r="AN33" s="39">
        <f t="shared" si="32"/>
        <v>6381190066.1100683</v>
      </c>
      <c r="AO33" s="39">
        <f t="shared" si="32"/>
        <v>6674916255.8759909</v>
      </c>
      <c r="AP33" s="39">
        <f t="shared" si="32"/>
        <v>6970730976.3468046</v>
      </c>
      <c r="AQ33" s="39">
        <f t="shared" si="32"/>
        <v>7268647539.8172235</v>
      </c>
      <c r="AR33" s="39">
        <f t="shared" si="32"/>
        <v>7568679343.4345264</v>
      </c>
      <c r="AS33" s="39">
        <f t="shared" si="32"/>
        <v>7870839869.7394094</v>
      </c>
      <c r="AT33" s="39">
        <f t="shared" si="32"/>
        <v>8175142687.2102833</v>
      </c>
      <c r="AU33" s="39">
        <f t="shared" si="32"/>
        <v>8481601450.8110399</v>
      </c>
      <c r="AV33" s="39">
        <f t="shared" si="32"/>
        <v>8791181588.1554909</v>
      </c>
      <c r="AW33" s="39">
        <f t="shared" si="32"/>
        <v>9102951309.2666988</v>
      </c>
      <c r="AX33" s="39">
        <f t="shared" si="32"/>
        <v>9416924570.5515938</v>
      </c>
      <c r="AY33" s="39">
        <f t="shared" si="32"/>
        <v>9733115417.3752403</v>
      </c>
      <c r="AZ33" s="39">
        <f t="shared" si="32"/>
        <v>10051537984.627865</v>
      </c>
      <c r="BA33" s="39">
        <f t="shared" si="32"/>
        <v>10372206497.295481</v>
      </c>
      <c r="BB33" s="39">
        <f t="shared" si="32"/>
        <v>10695135271.034164</v>
      </c>
      <c r="BC33" s="39">
        <f t="shared" si="32"/>
        <v>11020338712.747982</v>
      </c>
      <c r="BD33" s="39">
        <f t="shared" si="32"/>
        <v>11347831321.170607</v>
      </c>
      <c r="BE33" s="39">
        <f t="shared" si="32"/>
        <v>11677627687.450642</v>
      </c>
      <c r="BF33" s="39">
        <f t="shared" si="32"/>
        <v>12009742495.740669</v>
      </c>
      <c r="BG33" s="39">
        <f t="shared" si="32"/>
        <v>12344190523.79006</v>
      </c>
      <c r="BH33" s="39">
        <f t="shared" si="32"/>
        <v>12680986643.541561</v>
      </c>
      <c r="BI33" s="39">
        <f t="shared" si="32"/>
        <v>13020145821.731682</v>
      </c>
      <c r="BJ33" s="39">
        <f t="shared" si="32"/>
        <v>13361683120.494911</v>
      </c>
    </row>
    <row r="34" spans="1:62" x14ac:dyDescent="0.3">
      <c r="A34" s="33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</row>
    <row r="35" spans="1:62" x14ac:dyDescent="0.3">
      <c r="A35" s="33" t="s">
        <v>82</v>
      </c>
      <c r="B35" s="39"/>
      <c r="C35" s="39">
        <f t="shared" ref="C35:AH35" si="33">C32/(1+$V$2)^C27</f>
        <v>186074651.17646244</v>
      </c>
      <c r="D35" s="39">
        <f t="shared" si="33"/>
        <v>180129534.24209246</v>
      </c>
      <c r="E35" s="39">
        <f t="shared" si="33"/>
        <v>174305070.61836568</v>
      </c>
      <c r="F35" s="39">
        <f t="shared" si="33"/>
        <v>168605205.11084825</v>
      </c>
      <c r="G35" s="39">
        <f t="shared" si="33"/>
        <v>163033037.04258782</v>
      </c>
      <c r="H35" s="39">
        <f t="shared" si="33"/>
        <v>157590954.86472595</v>
      </c>
      <c r="I35" s="39">
        <f t="shared" si="33"/>
        <v>152280706.57048628</v>
      </c>
      <c r="J35" s="39">
        <f t="shared" si="33"/>
        <v>147103464.31585801</v>
      </c>
      <c r="K35" s="39">
        <f t="shared" si="33"/>
        <v>142059883.68870962</v>
      </c>
      <c r="L35" s="39">
        <f t="shared" si="33"/>
        <v>137150158.03563243</v>
      </c>
      <c r="M35" s="39">
        <f t="shared" si="33"/>
        <v>132374068.22570556</v>
      </c>
      <c r="N35" s="39">
        <f t="shared" si="33"/>
        <v>127731028.202438</v>
      </c>
      <c r="O35" s="39">
        <f t="shared" si="33"/>
        <v>123220126.64922032</v>
      </c>
      <c r="P35" s="39">
        <f t="shared" si="33"/>
        <v>118840165.06956697</v>
      </c>
      <c r="Q35" s="39">
        <f t="shared" si="33"/>
        <v>114589692.56111436</v>
      </c>
      <c r="R35" s="39">
        <f t="shared" si="33"/>
        <v>111132654.5421225</v>
      </c>
      <c r="S35" s="39">
        <f t="shared" si="33"/>
        <v>106770165.47582044</v>
      </c>
      <c r="T35" s="39">
        <f t="shared" si="33"/>
        <v>102574908.77609129</v>
      </c>
      <c r="U35" s="39">
        <f t="shared" si="33"/>
        <v>98540706.208064556</v>
      </c>
      <c r="V35" s="39">
        <f t="shared" si="33"/>
        <v>94661594.013342917</v>
      </c>
      <c r="W35" s="39">
        <f t="shared" si="33"/>
        <v>90931816.310710236</v>
      </c>
      <c r="X35" s="39">
        <f t="shared" si="33"/>
        <v>87345818.644578591</v>
      </c>
      <c r="Y35" s="39">
        <f t="shared" si="33"/>
        <v>83898241.6819451</v>
      </c>
      <c r="Z35" s="39">
        <f t="shared" si="33"/>
        <v>80583915.058221191</v>
      </c>
      <c r="AA35" s="39">
        <f t="shared" si="33"/>
        <v>77397851.371924385</v>
      </c>
      <c r="AB35" s="39">
        <f t="shared" si="33"/>
        <v>74335240.327886492</v>
      </c>
      <c r="AC35" s="39">
        <f t="shared" si="33"/>
        <v>71391443.028327137</v>
      </c>
      <c r="AD35" s="39">
        <f t="shared" si="33"/>
        <v>68561986.410867602</v>
      </c>
      <c r="AE35" s="39">
        <f t="shared" si="33"/>
        <v>65842557.832313091</v>
      </c>
      <c r="AF35" s="39">
        <f t="shared" si="33"/>
        <v>63228999.796811216</v>
      </c>
      <c r="AG35" s="39">
        <f t="shared" si="33"/>
        <v>61146929.326742247</v>
      </c>
      <c r="AH35" s="39">
        <f t="shared" si="33"/>
        <v>58651760.009108938</v>
      </c>
      <c r="AI35" s="39">
        <f t="shared" ref="AI35:BJ35" si="34">AI32/(1+$V$2)^AI27</f>
        <v>56258099.590993948</v>
      </c>
      <c r="AJ35" s="39">
        <f t="shared" si="34"/>
        <v>53961833.466497011</v>
      </c>
      <c r="AK35" s="39">
        <f t="shared" si="34"/>
        <v>51759013.083626285</v>
      </c>
      <c r="AL35" s="39">
        <f t="shared" si="34"/>
        <v>49645849.278428607</v>
      </c>
      <c r="AM35" s="39">
        <f t="shared" si="34"/>
        <v>47618705.874960989</v>
      </c>
      <c r="AN35" s="39">
        <f t="shared" si="34"/>
        <v>45674093.540587857</v>
      </c>
      <c r="AO35" s="39">
        <f t="shared" si="34"/>
        <v>43808663.886499412</v>
      </c>
      <c r="AP35" s="39">
        <f t="shared" si="34"/>
        <v>42019203.803742751</v>
      </c>
      <c r="AQ35" s="39">
        <f t="shared" si="34"/>
        <v>40302630.02543775</v>
      </c>
      <c r="AR35" s="39">
        <f t="shared" si="34"/>
        <v>38655983.906215616</v>
      </c>
      <c r="AS35" s="39">
        <f t="shared" si="34"/>
        <v>37076426.410269409</v>
      </c>
      <c r="AT35" s="39">
        <f t="shared" si="34"/>
        <v>35561233.299744174</v>
      </c>
      <c r="AU35" s="39">
        <f t="shared" si="34"/>
        <v>34107790.515518807</v>
      </c>
      <c r="AV35" s="39">
        <f t="shared" si="34"/>
        <v>32814465.253537536</v>
      </c>
      <c r="AW35" s="39">
        <f t="shared" si="34"/>
        <v>31472908.431232564</v>
      </c>
      <c r="AX35" s="39">
        <f t="shared" si="34"/>
        <v>30186051.50547168</v>
      </c>
      <c r="AY35" s="39">
        <f t="shared" si="34"/>
        <v>28951671.291453928</v>
      </c>
      <c r="AZ35" s="39">
        <f t="shared" si="34"/>
        <v>27767634.616542406</v>
      </c>
      <c r="BA35" s="39">
        <f t="shared" si="34"/>
        <v>26631894.692672588</v>
      </c>
      <c r="BB35" s="39">
        <f t="shared" si="34"/>
        <v>25542487.634135004</v>
      </c>
      <c r="BC35" s="39">
        <f t="shared" si="34"/>
        <v>24497529.11494676</v>
      </c>
      <c r="BD35" s="39">
        <f t="shared" si="34"/>
        <v>23495211.160254713</v>
      </c>
      <c r="BE35" s="39">
        <f t="shared" si="34"/>
        <v>22533799.066432372</v>
      </c>
      <c r="BF35" s="39">
        <f t="shared" si="34"/>
        <v>21611628.444743522</v>
      </c>
      <c r="BG35" s="39">
        <f t="shared" si="34"/>
        <v>20727102.383647807</v>
      </c>
      <c r="BH35" s="39">
        <f t="shared" si="34"/>
        <v>19878688.725018702</v>
      </c>
      <c r="BI35" s="39">
        <f t="shared" si="34"/>
        <v>19064917.449730642</v>
      </c>
      <c r="BJ35" s="39">
        <f t="shared" si="34"/>
        <v>18284378.168252327</v>
      </c>
    </row>
    <row r="36" spans="1:62" x14ac:dyDescent="0.3">
      <c r="A36" s="40" t="s">
        <v>83</v>
      </c>
      <c r="B36" s="39">
        <f>SUM(C35:BJ35)</f>
        <v>4571994229.8092861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</row>
    <row r="37" spans="1:62" x14ac:dyDescent="0.3">
      <c r="A37" s="33" t="s">
        <v>84</v>
      </c>
      <c r="B37" s="39">
        <f>B30</f>
        <v>-2141700000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</row>
    <row r="38" spans="1:62" x14ac:dyDescent="0.3">
      <c r="A38" s="33" t="s">
        <v>85</v>
      </c>
      <c r="B38" s="39">
        <f>B36+B37</f>
        <v>2430294229.8092861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</row>
    <row r="39" spans="1:62" x14ac:dyDescent="0.3">
      <c r="A39" s="33" t="s">
        <v>86</v>
      </c>
      <c r="B39" s="41">
        <f>IRR(B32:BJ32)</f>
        <v>0.10391419213277553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</row>
  </sheetData>
  <mergeCells count="8">
    <mergeCell ref="AG26:AU26"/>
    <mergeCell ref="AV26:BI26"/>
    <mergeCell ref="B5:Q5"/>
    <mergeCell ref="R5:AF5"/>
    <mergeCell ref="AG5:AU5"/>
    <mergeCell ref="AV5:BI5"/>
    <mergeCell ref="B26:Q26"/>
    <mergeCell ref="R26:AF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B37C-29D3-4C84-8F1D-3564F1AB8019}">
  <dimension ref="A1:BL45"/>
  <sheetViews>
    <sheetView tabSelected="1" zoomScale="40" workbookViewId="0">
      <selection activeCell="BK32" sqref="BK32:DQ42"/>
    </sheetView>
  </sheetViews>
  <sheetFormatPr defaultRowHeight="14.4" x14ac:dyDescent="0.3"/>
  <cols>
    <col min="1" max="1" width="22.109375" bestFit="1" customWidth="1"/>
    <col min="2" max="3" width="22.5546875" bestFit="1" customWidth="1"/>
    <col min="4" max="5" width="22.109375" bestFit="1" customWidth="1"/>
    <col min="6" max="6" width="22.5546875" bestFit="1" customWidth="1"/>
    <col min="7" max="7" width="21.109375" customWidth="1"/>
    <col min="8" max="9" width="20.88671875" bestFit="1" customWidth="1"/>
    <col min="10" max="10" width="20.88671875" customWidth="1"/>
    <col min="11" max="16" width="20.88671875" bestFit="1" customWidth="1"/>
    <col min="17" max="17" width="21.77734375" bestFit="1" customWidth="1"/>
    <col min="18" max="18" width="22.109375" bestFit="1" customWidth="1"/>
    <col min="19" max="19" width="21.77734375" bestFit="1" customWidth="1"/>
    <col min="20" max="21" width="22.5546875" bestFit="1" customWidth="1"/>
    <col min="22" max="22" width="22.88671875" bestFit="1" customWidth="1"/>
    <col min="23" max="23" width="22.5546875" bestFit="1" customWidth="1"/>
    <col min="24" max="24" width="22.109375" bestFit="1" customWidth="1"/>
    <col min="25" max="25" width="22.5546875" bestFit="1" customWidth="1"/>
    <col min="26" max="26" width="22.109375" bestFit="1" customWidth="1"/>
    <col min="27" max="30" width="22.5546875" bestFit="1" customWidth="1"/>
    <col min="31" max="32" width="22.88671875" bestFit="1" customWidth="1"/>
    <col min="33" max="33" width="22.5546875" bestFit="1" customWidth="1"/>
    <col min="34" max="34" width="22.88671875" bestFit="1" customWidth="1"/>
    <col min="35" max="35" width="22.109375" bestFit="1" customWidth="1"/>
    <col min="36" max="36" width="22.5546875" bestFit="1" customWidth="1"/>
    <col min="37" max="61" width="19.88671875" bestFit="1" customWidth="1"/>
    <col min="62" max="62" width="18.5546875" customWidth="1"/>
    <col min="63" max="63" width="19.88671875" bestFit="1" customWidth="1"/>
    <col min="16384" max="16384" width="9.109375" bestFit="1" customWidth="1"/>
  </cols>
  <sheetData>
    <row r="1" spans="1:64" x14ac:dyDescent="0.3">
      <c r="A1" s="12"/>
      <c r="B1" s="18" t="s">
        <v>49</v>
      </c>
      <c r="C1" s="18" t="s">
        <v>50</v>
      </c>
      <c r="D1" s="18" t="s">
        <v>51</v>
      </c>
      <c r="E1" s="18" t="s">
        <v>52</v>
      </c>
      <c r="G1" s="12"/>
      <c r="H1" s="18" t="s">
        <v>49</v>
      </c>
      <c r="I1" s="18" t="s">
        <v>50</v>
      </c>
      <c r="J1" s="18" t="s">
        <v>51</v>
      </c>
      <c r="K1" s="18" t="s">
        <v>52</v>
      </c>
      <c r="L1" s="12"/>
      <c r="N1" s="18" t="s">
        <v>53</v>
      </c>
      <c r="O1" s="12"/>
      <c r="S1" s="12"/>
      <c r="T1" s="18" t="s">
        <v>54</v>
      </c>
      <c r="V1" s="18" t="s">
        <v>87</v>
      </c>
    </row>
    <row r="2" spans="1:64" x14ac:dyDescent="0.3">
      <c r="A2" s="18" t="s">
        <v>55</v>
      </c>
      <c r="B2" s="21">
        <f>SUM('Output Produzione'!C3:C14)</f>
        <v>369257.25916911964</v>
      </c>
      <c r="C2" s="21">
        <f>SUM('Output Produzione'!C17:C28)</f>
        <v>334190.9246930661</v>
      </c>
      <c r="D2" s="21">
        <f>SUM('Output Produzione'!C31:C42)</f>
        <v>292224.77415524778</v>
      </c>
      <c r="E2" s="21">
        <f>SUM('Output Produzione'!C45:C56)</f>
        <v>272576.68695770763</v>
      </c>
      <c r="G2" s="18" t="s">
        <v>56</v>
      </c>
      <c r="H2" s="19">
        <f>'Prezzi Energia Vari'!B31</f>
        <v>104.72089093073527</v>
      </c>
      <c r="I2" s="19">
        <f>'Prezzi Energia Vari'!D31</f>
        <v>105.44537471948138</v>
      </c>
      <c r="J2" s="19">
        <f>'Prezzi Energia Vari'!F31</f>
        <v>106.06664743806007</v>
      </c>
      <c r="K2" s="19">
        <f>'Prezzi Energia Vari'!H31</f>
        <v>106.29154133195121</v>
      </c>
      <c r="L2" s="12"/>
      <c r="N2" s="19">
        <f>'OPEX and CAPEX'!C4</f>
        <v>2141700000</v>
      </c>
      <c r="O2" s="12"/>
      <c r="S2" s="12"/>
      <c r="T2" s="20">
        <v>0.27900000000000003</v>
      </c>
      <c r="V2" s="20">
        <v>0.05</v>
      </c>
    </row>
    <row r="3" spans="1:64" x14ac:dyDescent="0.3">
      <c r="A3" s="18" t="s">
        <v>57</v>
      </c>
      <c r="B3" s="21">
        <f>354*0.98*8760-B2</f>
        <v>2669761.9408308808</v>
      </c>
      <c r="C3" s="21">
        <f>SUM('Output Produzione'!D17:D28)</f>
        <v>477231.38025263202</v>
      </c>
      <c r="D3" s="21">
        <f>SUM('Output Produzione'!D31:D42)</f>
        <v>519155.54421133263</v>
      </c>
      <c r="E3" s="21">
        <f>SUM('Output Produzione'!D45:D56)</f>
        <v>579243.70907114586</v>
      </c>
      <c r="G3" s="18" t="s">
        <v>58</v>
      </c>
      <c r="H3" s="19">
        <f>'Prezzi Energia Vari'!B34</f>
        <v>116.35654547859474</v>
      </c>
      <c r="I3" s="19">
        <f>'Prezzi Energia Vari'!D34</f>
        <v>117.16152746609042</v>
      </c>
      <c r="J3" s="19">
        <f>'Prezzi Energia Vari'!F34</f>
        <v>117.85183048673341</v>
      </c>
      <c r="K3" s="19">
        <f>'Prezzi Energia Vari'!H34</f>
        <v>118.1017125910569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64" x14ac:dyDescent="0.3">
      <c r="C4">
        <f>354*0.98*8760-C2</f>
        <v>2704828.275306934</v>
      </c>
    </row>
    <row r="6" spans="1:64" x14ac:dyDescent="0.3">
      <c r="A6" s="27"/>
      <c r="B6" s="72" t="s">
        <v>49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 t="s">
        <v>50</v>
      </c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 t="s">
        <v>51</v>
      </c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 t="s">
        <v>52</v>
      </c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28" t="s">
        <v>59</v>
      </c>
    </row>
    <row r="7" spans="1:64" x14ac:dyDescent="0.3">
      <c r="A7" s="27"/>
      <c r="B7" s="27">
        <v>0</v>
      </c>
      <c r="C7" s="27">
        <v>1</v>
      </c>
      <c r="D7" s="27">
        <v>2</v>
      </c>
      <c r="E7" s="27">
        <v>3</v>
      </c>
      <c r="F7" s="27">
        <v>4</v>
      </c>
      <c r="G7" s="27">
        <v>5</v>
      </c>
      <c r="H7" s="27">
        <v>6</v>
      </c>
      <c r="I7" s="27">
        <v>7</v>
      </c>
      <c r="J7" s="27">
        <v>8</v>
      </c>
      <c r="K7" s="27">
        <v>9</v>
      </c>
      <c r="L7" s="27">
        <v>10</v>
      </c>
      <c r="M7" s="27">
        <v>11</v>
      </c>
      <c r="N7" s="27">
        <v>12</v>
      </c>
      <c r="O7" s="27">
        <v>13</v>
      </c>
      <c r="P7" s="27">
        <v>14</v>
      </c>
      <c r="Q7" s="27">
        <v>15</v>
      </c>
      <c r="R7" s="27">
        <v>16</v>
      </c>
      <c r="S7" s="27">
        <v>17</v>
      </c>
      <c r="T7" s="27">
        <v>18</v>
      </c>
      <c r="U7" s="27">
        <v>19</v>
      </c>
      <c r="V7" s="27">
        <v>20</v>
      </c>
      <c r="W7" s="27">
        <v>21</v>
      </c>
      <c r="X7" s="27">
        <v>22</v>
      </c>
      <c r="Y7" s="27">
        <v>23</v>
      </c>
      <c r="Z7" s="27">
        <v>24</v>
      </c>
      <c r="AA7" s="27">
        <v>25</v>
      </c>
      <c r="AB7" s="27">
        <v>26</v>
      </c>
      <c r="AC7" s="27">
        <v>27</v>
      </c>
      <c r="AD7" s="27">
        <v>28</v>
      </c>
      <c r="AE7" s="27">
        <v>29</v>
      </c>
      <c r="AF7" s="27">
        <v>30</v>
      </c>
      <c r="AG7" s="27">
        <v>31</v>
      </c>
      <c r="AH7" s="27">
        <v>32</v>
      </c>
      <c r="AI7" s="27">
        <v>33</v>
      </c>
      <c r="AJ7" s="27">
        <v>34</v>
      </c>
      <c r="AK7" s="27">
        <v>35</v>
      </c>
      <c r="AL7" s="27">
        <v>36</v>
      </c>
      <c r="AM7" s="27">
        <v>37</v>
      </c>
      <c r="AN7" s="27">
        <v>38</v>
      </c>
      <c r="AO7" s="27">
        <v>39</v>
      </c>
      <c r="AP7" s="27">
        <v>40</v>
      </c>
      <c r="AQ7" s="27">
        <v>41</v>
      </c>
      <c r="AR7" s="27">
        <v>42</v>
      </c>
      <c r="AS7" s="27">
        <v>43</v>
      </c>
      <c r="AT7" s="27">
        <v>44</v>
      </c>
      <c r="AU7" s="27">
        <v>45</v>
      </c>
      <c r="AV7" s="27">
        <v>46</v>
      </c>
      <c r="AW7" s="27">
        <v>47</v>
      </c>
      <c r="AX7" s="27">
        <v>48</v>
      </c>
      <c r="AY7" s="27">
        <v>49</v>
      </c>
      <c r="AZ7" s="27">
        <v>50</v>
      </c>
      <c r="BA7" s="27">
        <v>51</v>
      </c>
      <c r="BB7" s="27">
        <v>52</v>
      </c>
      <c r="BC7" s="27">
        <v>53</v>
      </c>
      <c r="BD7" s="27">
        <v>54</v>
      </c>
      <c r="BE7" s="27">
        <v>55</v>
      </c>
      <c r="BF7" s="27">
        <v>56</v>
      </c>
      <c r="BG7" s="27">
        <v>57</v>
      </c>
      <c r="BH7" s="27">
        <v>58</v>
      </c>
      <c r="BI7" s="27">
        <v>59</v>
      </c>
      <c r="BJ7" s="27">
        <v>60</v>
      </c>
    </row>
    <row r="8" spans="1:64" x14ac:dyDescent="0.3">
      <c r="A8" s="29" t="s">
        <v>60</v>
      </c>
      <c r="B8" s="29">
        <v>2025</v>
      </c>
      <c r="C8" s="29">
        <v>2026</v>
      </c>
      <c r="D8" s="29">
        <v>2027</v>
      </c>
      <c r="E8" s="29">
        <v>2028</v>
      </c>
      <c r="F8" s="29">
        <v>2029</v>
      </c>
      <c r="G8" s="29">
        <v>2030</v>
      </c>
      <c r="H8" s="29">
        <v>2031</v>
      </c>
      <c r="I8" s="29">
        <v>2032</v>
      </c>
      <c r="J8" s="29">
        <v>2033</v>
      </c>
      <c r="K8" s="29">
        <v>2034</v>
      </c>
      <c r="L8" s="29">
        <v>2035</v>
      </c>
      <c r="M8" s="29">
        <v>2036</v>
      </c>
      <c r="N8" s="29">
        <v>2037</v>
      </c>
      <c r="O8" s="29">
        <v>2038</v>
      </c>
      <c r="P8" s="29">
        <v>2039</v>
      </c>
      <c r="Q8" s="29">
        <v>2040</v>
      </c>
      <c r="R8" s="29">
        <v>2041</v>
      </c>
      <c r="S8" s="29">
        <v>2042</v>
      </c>
      <c r="T8" s="29">
        <v>2043</v>
      </c>
      <c r="U8" s="29">
        <v>2044</v>
      </c>
      <c r="V8" s="29">
        <v>2045</v>
      </c>
      <c r="W8" s="29">
        <v>2046</v>
      </c>
      <c r="X8" s="29">
        <v>2047</v>
      </c>
      <c r="Y8" s="29">
        <v>2048</v>
      </c>
      <c r="Z8" s="29">
        <v>2049</v>
      </c>
      <c r="AA8" s="29">
        <v>2050</v>
      </c>
      <c r="AB8" s="29">
        <v>2051</v>
      </c>
      <c r="AC8" s="29">
        <v>2052</v>
      </c>
      <c r="AD8" s="29">
        <v>2053</v>
      </c>
      <c r="AE8" s="29">
        <v>2054</v>
      </c>
      <c r="AF8" s="29">
        <v>2055</v>
      </c>
      <c r="AG8" s="29">
        <v>2056</v>
      </c>
      <c r="AH8" s="29">
        <v>2057</v>
      </c>
      <c r="AI8" s="29">
        <v>2058</v>
      </c>
      <c r="AJ8" s="29">
        <v>2059</v>
      </c>
      <c r="AK8" s="29">
        <v>2060</v>
      </c>
      <c r="AL8" s="29">
        <v>2061</v>
      </c>
      <c r="AM8" s="29">
        <v>2062</v>
      </c>
      <c r="AN8" s="29">
        <v>2063</v>
      </c>
      <c r="AO8" s="29">
        <v>2064</v>
      </c>
      <c r="AP8" s="29">
        <v>2065</v>
      </c>
      <c r="AQ8" s="29">
        <v>2066</v>
      </c>
      <c r="AR8" s="29">
        <v>2067</v>
      </c>
      <c r="AS8" s="29">
        <v>2068</v>
      </c>
      <c r="AT8" s="29">
        <v>2069</v>
      </c>
      <c r="AU8" s="29">
        <v>2070</v>
      </c>
      <c r="AV8" s="29">
        <v>2071</v>
      </c>
      <c r="AW8" s="29">
        <v>2072</v>
      </c>
      <c r="AX8" s="29">
        <v>2073</v>
      </c>
      <c r="AY8" s="29">
        <v>2074</v>
      </c>
      <c r="AZ8" s="29">
        <v>2075</v>
      </c>
      <c r="BA8" s="29">
        <v>2076</v>
      </c>
      <c r="BB8" s="29">
        <v>2077</v>
      </c>
      <c r="BC8" s="29">
        <v>2078</v>
      </c>
      <c r="BD8" s="29">
        <v>2079</v>
      </c>
      <c r="BE8" s="29">
        <v>2080</v>
      </c>
      <c r="BF8" s="29">
        <v>2081</v>
      </c>
      <c r="BG8" s="29">
        <v>2082</v>
      </c>
      <c r="BH8" s="29">
        <v>2083</v>
      </c>
      <c r="BI8" s="29">
        <v>2084</v>
      </c>
      <c r="BJ8" s="29">
        <v>2085</v>
      </c>
      <c r="BL8" s="25"/>
    </row>
    <row r="9" spans="1:64" x14ac:dyDescent="0.3">
      <c r="A9" s="30" t="s">
        <v>61</v>
      </c>
      <c r="B9" s="30"/>
      <c r="C9" s="31">
        <f>($B$2*'Prezzi Energia Vari'!$B$31+$B$3*'Prezzi Energia Vari'!$B$34)*1.0063742415</f>
        <v>351539832.70884144</v>
      </c>
      <c r="D9" s="31">
        <f>C9*1.0063742415</f>
        <v>353780632.49939722</v>
      </c>
      <c r="E9" s="31">
        <f t="shared" ref="E9:Q9" si="0">D9*1.006374</f>
        <v>356035630.25094843</v>
      </c>
      <c r="F9" s="31">
        <f t="shared" si="0"/>
        <v>358305001.35816801</v>
      </c>
      <c r="G9" s="31">
        <f t="shared" si="0"/>
        <v>360588837.43682498</v>
      </c>
      <c r="H9" s="31">
        <f t="shared" si="0"/>
        <v>362887230.68664736</v>
      </c>
      <c r="I9" s="31">
        <f t="shared" si="0"/>
        <v>365200273.89504409</v>
      </c>
      <c r="J9" s="31">
        <f t="shared" si="0"/>
        <v>367528060.44085115</v>
      </c>
      <c r="K9" s="31">
        <f t="shared" si="0"/>
        <v>369870684.29810119</v>
      </c>
      <c r="L9" s="31">
        <f t="shared" si="0"/>
        <v>372228240.03981733</v>
      </c>
      <c r="M9" s="31">
        <f t="shared" si="0"/>
        <v>374600822.84183115</v>
      </c>
      <c r="N9" s="31">
        <f t="shared" si="0"/>
        <v>376988528.48662502</v>
      </c>
      <c r="O9" s="31">
        <f t="shared" si="0"/>
        <v>379391453.36719882</v>
      </c>
      <c r="P9" s="31">
        <f t="shared" si="0"/>
        <v>381809694.49096137</v>
      </c>
      <c r="Q9" s="31">
        <f t="shared" si="0"/>
        <v>384243349.48364681</v>
      </c>
      <c r="R9" s="31">
        <f>(C2*'Prezzi Energia Vari'!D31+C4*'Prezzi Energia Vari'!D34)*1.1*1.006374</f>
        <v>389823768.80642456</v>
      </c>
      <c r="S9" s="31">
        <f>R9*1.006374</f>
        <v>392308505.50879675</v>
      </c>
      <c r="T9" s="31">
        <f>S9*1.006374</f>
        <v>394809079.92290986</v>
      </c>
      <c r="U9" s="31">
        <f>T9*1.006374</f>
        <v>397325592.99833852</v>
      </c>
      <c r="V9" s="31">
        <f>U9*1.006374</f>
        <v>399858146.32810998</v>
      </c>
      <c r="W9" s="31">
        <f>'Base Case'!W8</f>
        <v>104163496.37895589</v>
      </c>
      <c r="X9" s="31">
        <f t="shared" ref="X9:AF9" si="1">W9*1.006374</f>
        <v>104827434.50487536</v>
      </c>
      <c r="Y9" s="31">
        <f t="shared" si="1"/>
        <v>105495604.57240945</v>
      </c>
      <c r="Z9" s="31">
        <f t="shared" si="1"/>
        <v>106168033.55595399</v>
      </c>
      <c r="AA9" s="31">
        <f t="shared" si="1"/>
        <v>106844748.60183966</v>
      </c>
      <c r="AB9" s="31">
        <f t="shared" si="1"/>
        <v>107525777.0294278</v>
      </c>
      <c r="AC9" s="31">
        <f t="shared" si="1"/>
        <v>108211146.33221339</v>
      </c>
      <c r="AD9" s="31">
        <f t="shared" si="1"/>
        <v>108900884.17893493</v>
      </c>
      <c r="AE9" s="31">
        <f t="shared" si="1"/>
        <v>109595018.41469148</v>
      </c>
      <c r="AF9" s="31">
        <f t="shared" si="1"/>
        <v>110293577.06206673</v>
      </c>
      <c r="AG9" s="31">
        <f>(D2*'Prezzi Energia Vari'!F31+D3*'Prezzi Energia Vari'!F34)*1.1^2*1.006374</f>
        <v>112247199.44323099</v>
      </c>
      <c r="AH9" s="31">
        <f t="shared" ref="AH9:AU9" si="2">AG9*1.006374</f>
        <v>112962663.09248215</v>
      </c>
      <c r="AI9" s="31">
        <f t="shared" si="2"/>
        <v>113682687.10703364</v>
      </c>
      <c r="AJ9" s="31">
        <f t="shared" si="2"/>
        <v>114407300.55465388</v>
      </c>
      <c r="AK9" s="31">
        <f t="shared" si="2"/>
        <v>115136532.68838926</v>
      </c>
      <c r="AL9" s="31">
        <f t="shared" si="2"/>
        <v>115870412.94774505</v>
      </c>
      <c r="AM9" s="31">
        <f t="shared" si="2"/>
        <v>116608970.95987399</v>
      </c>
      <c r="AN9" s="31">
        <f t="shared" si="2"/>
        <v>117352236.54077224</v>
      </c>
      <c r="AO9" s="31">
        <f t="shared" si="2"/>
        <v>118100239.69648314</v>
      </c>
      <c r="AP9" s="31">
        <f t="shared" si="2"/>
        <v>118853010.62430853</v>
      </c>
      <c r="AQ9" s="31">
        <f t="shared" si="2"/>
        <v>119610579.71402788</v>
      </c>
      <c r="AR9" s="31">
        <f t="shared" si="2"/>
        <v>120372977.54912511</v>
      </c>
      <c r="AS9" s="31">
        <f t="shared" si="2"/>
        <v>121140234.90802324</v>
      </c>
      <c r="AT9" s="31">
        <f t="shared" si="2"/>
        <v>121912382.76532699</v>
      </c>
      <c r="AU9" s="31">
        <f t="shared" si="2"/>
        <v>122689452.29307319</v>
      </c>
      <c r="AV9" s="31">
        <f>(E2*'Prezzi Energia Vari'!H31+E3*'Prezzi Energia Vari'!H34)*1.1^3*1.006374</f>
        <v>130441972.80510847</v>
      </c>
      <c r="AW9" s="31">
        <f t="shared" ref="AW9:BJ9" si="3">AV9*1.006374</f>
        <v>131273409.93976825</v>
      </c>
      <c r="AX9" s="31">
        <f t="shared" si="3"/>
        <v>132110146.65472434</v>
      </c>
      <c r="AY9" s="31">
        <f t="shared" si="3"/>
        <v>132952216.72950158</v>
      </c>
      <c r="AZ9" s="31">
        <f t="shared" si="3"/>
        <v>133799654.15893543</v>
      </c>
      <c r="BA9" s="31">
        <f t="shared" si="3"/>
        <v>134652493.1545445</v>
      </c>
      <c r="BB9" s="31">
        <f t="shared" si="3"/>
        <v>135510768.14591157</v>
      </c>
      <c r="BC9" s="31">
        <f t="shared" si="3"/>
        <v>136374513.78207362</v>
      </c>
      <c r="BD9" s="31">
        <f t="shared" si="3"/>
        <v>137243764.93292058</v>
      </c>
      <c r="BE9" s="31">
        <f t="shared" si="3"/>
        <v>138118556.69060302</v>
      </c>
      <c r="BF9" s="31">
        <f t="shared" si="3"/>
        <v>138998924.37094894</v>
      </c>
      <c r="BG9" s="31">
        <f t="shared" si="3"/>
        <v>139884903.51488939</v>
      </c>
      <c r="BH9" s="31">
        <f t="shared" si="3"/>
        <v>140776529.88989332</v>
      </c>
      <c r="BI9" s="31">
        <f t="shared" si="3"/>
        <v>141673839.49141151</v>
      </c>
      <c r="BJ9" s="31">
        <f t="shared" si="3"/>
        <v>142576868.54432979</v>
      </c>
    </row>
    <row r="10" spans="1:64" x14ac:dyDescent="0.3">
      <c r="A10" s="27" t="s">
        <v>62</v>
      </c>
      <c r="B10" s="32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>
        <f>'Base Case'!W9</f>
        <v>35005696.149916872</v>
      </c>
      <c r="X10" s="31">
        <f t="shared" ref="X10:AF10" si="4">W10</f>
        <v>35005696.149916872</v>
      </c>
      <c r="Y10" s="31">
        <f t="shared" si="4"/>
        <v>35005696.149916872</v>
      </c>
      <c r="Z10" s="31">
        <f t="shared" si="4"/>
        <v>35005696.149916872</v>
      </c>
      <c r="AA10" s="31">
        <f t="shared" si="4"/>
        <v>35005696.149916872</v>
      </c>
      <c r="AB10" s="31">
        <f t="shared" si="4"/>
        <v>35005696.149916872</v>
      </c>
      <c r="AC10" s="31">
        <f t="shared" si="4"/>
        <v>35005696.149916872</v>
      </c>
      <c r="AD10" s="31">
        <f t="shared" si="4"/>
        <v>35005696.149916872</v>
      </c>
      <c r="AE10" s="31">
        <f t="shared" si="4"/>
        <v>35005696.149916872</v>
      </c>
      <c r="AF10" s="31">
        <f t="shared" si="4"/>
        <v>35005696.149916872</v>
      </c>
      <c r="AG10" s="31">
        <f>'Output Produzione'!$F$31*'Prezzi Energia Vari'!$B$24*0.7*1.006374</f>
        <v>35892150.05848752</v>
      </c>
      <c r="AH10" s="31">
        <f t="shared" ref="AH10:AT10" si="5">AG10*1.006374</f>
        <v>36120926.622960322</v>
      </c>
      <c r="AI10" s="31">
        <f t="shared" si="5"/>
        <v>36351161.409255072</v>
      </c>
      <c r="AJ10" s="31">
        <f t="shared" si="5"/>
        <v>36582863.71207767</v>
      </c>
      <c r="AK10" s="31">
        <f t="shared" si="5"/>
        <v>36816042.885378458</v>
      </c>
      <c r="AL10" s="31">
        <f t="shared" si="5"/>
        <v>37050708.342729867</v>
      </c>
      <c r="AM10" s="31">
        <f t="shared" si="5"/>
        <v>37286869.557706431</v>
      </c>
      <c r="AN10" s="31">
        <f t="shared" si="5"/>
        <v>37524536.064267255</v>
      </c>
      <c r="AO10" s="31">
        <f t="shared" si="5"/>
        <v>37763717.4571409</v>
      </c>
      <c r="AP10" s="31">
        <f t="shared" si="5"/>
        <v>38004423.392212719</v>
      </c>
      <c r="AQ10" s="31">
        <f t="shared" si="5"/>
        <v>38246663.586914688</v>
      </c>
      <c r="AR10" s="31">
        <f t="shared" si="5"/>
        <v>38490447.820617683</v>
      </c>
      <c r="AS10" s="31">
        <f t="shared" si="5"/>
        <v>38735785.935026303</v>
      </c>
      <c r="AT10" s="31">
        <f t="shared" si="5"/>
        <v>38982687.834576167</v>
      </c>
      <c r="AU10" s="31">
        <f>'Output Produzione'!$F$45*'Prezzi Energia Vari'!$B$24*0.7*1.1*1.006374</f>
        <v>38881793.653191723</v>
      </c>
      <c r="AV10" s="31">
        <f>AU10*1.006374</f>
        <v>39129626.205937169</v>
      </c>
      <c r="AW10" s="31">
        <f t="shared" ref="AW10:BJ10" si="6">AV10*1.006374</f>
        <v>39379038.443373814</v>
      </c>
      <c r="AX10" s="31">
        <f t="shared" si="6"/>
        <v>39630040.434411883</v>
      </c>
      <c r="AY10" s="31">
        <f t="shared" si="6"/>
        <v>39882642.31214083</v>
      </c>
      <c r="AZ10" s="31">
        <f t="shared" si="6"/>
        <v>40136854.274238423</v>
      </c>
      <c r="BA10" s="31">
        <f t="shared" si="6"/>
        <v>40392686.58338242</v>
      </c>
      <c r="BB10" s="31">
        <f t="shared" si="6"/>
        <v>40650149.567664906</v>
      </c>
      <c r="BC10" s="31">
        <f t="shared" si="6"/>
        <v>40909253.621009208</v>
      </c>
      <c r="BD10" s="31">
        <f t="shared" si="6"/>
        <v>41170009.203589529</v>
      </c>
      <c r="BE10" s="31">
        <f t="shared" si="6"/>
        <v>41432426.842253216</v>
      </c>
      <c r="BF10" s="31">
        <f t="shared" si="6"/>
        <v>41696517.130945742</v>
      </c>
      <c r="BG10" s="31">
        <f t="shared" si="6"/>
        <v>41962290.731138393</v>
      </c>
      <c r="BH10" s="31">
        <f t="shared" si="6"/>
        <v>42229758.372258671</v>
      </c>
      <c r="BI10" s="31">
        <f t="shared" si="6"/>
        <v>42498930.852123454</v>
      </c>
      <c r="BJ10" s="31">
        <f t="shared" si="6"/>
        <v>42769819.037374891</v>
      </c>
    </row>
    <row r="11" spans="1:64" s="24" customFormat="1" x14ac:dyDescent="0.3">
      <c r="A11" s="27" t="s">
        <v>63</v>
      </c>
      <c r="B11" s="32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>
        <f>'Base Case'!W10</f>
        <v>29088240.117294341</v>
      </c>
      <c r="X11" s="31">
        <f t="shared" ref="X11:AF11" si="7">W11</f>
        <v>29088240.117294341</v>
      </c>
      <c r="Y11" s="31">
        <f t="shared" si="7"/>
        <v>29088240.117294341</v>
      </c>
      <c r="Z11" s="31">
        <f t="shared" si="7"/>
        <v>29088240.117294341</v>
      </c>
      <c r="AA11" s="31">
        <f t="shared" si="7"/>
        <v>29088240.117294341</v>
      </c>
      <c r="AB11" s="31">
        <f t="shared" si="7"/>
        <v>29088240.117294341</v>
      </c>
      <c r="AC11" s="31">
        <f t="shared" si="7"/>
        <v>29088240.117294341</v>
      </c>
      <c r="AD11" s="31">
        <f t="shared" si="7"/>
        <v>29088240.117294341</v>
      </c>
      <c r="AE11" s="31">
        <f t="shared" si="7"/>
        <v>29088240.117294341</v>
      </c>
      <c r="AF11" s="31">
        <f t="shared" si="7"/>
        <v>29088240.117294341</v>
      </c>
      <c r="AG11" s="31">
        <f>'Output Produzione'!$G$31*'Prezzi Energia Vari'!$B$27*0.65*1.006374</f>
        <v>27354716.477768168</v>
      </c>
      <c r="AH11" s="31">
        <f t="shared" ref="AH11:AT11" si="8">AG11*1.006374</f>
        <v>27529075.440597463</v>
      </c>
      <c r="AI11" s="31">
        <f t="shared" si="8"/>
        <v>27704545.767455835</v>
      </c>
      <c r="AJ11" s="31">
        <f t="shared" si="8"/>
        <v>27881134.542177603</v>
      </c>
      <c r="AK11" s="31">
        <f t="shared" si="8"/>
        <v>28058848.893749446</v>
      </c>
      <c r="AL11" s="31">
        <f t="shared" si="8"/>
        <v>28237695.996598206</v>
      </c>
      <c r="AM11" s="31">
        <f t="shared" si="8"/>
        <v>28417683.070880525</v>
      </c>
      <c r="AN11" s="31">
        <f t="shared" si="8"/>
        <v>28598817.382774319</v>
      </c>
      <c r="AO11" s="31">
        <f t="shared" si="8"/>
        <v>28781106.244772125</v>
      </c>
      <c r="AP11" s="31">
        <f t="shared" si="8"/>
        <v>28964557.015976306</v>
      </c>
      <c r="AQ11" s="31">
        <f t="shared" si="8"/>
        <v>29149177.102396142</v>
      </c>
      <c r="AR11" s="31">
        <f t="shared" si="8"/>
        <v>29334973.957246818</v>
      </c>
      <c r="AS11" s="31">
        <f t="shared" si="8"/>
        <v>29521955.081250314</v>
      </c>
      <c r="AT11" s="31">
        <f t="shared" si="8"/>
        <v>29710128.022938207</v>
      </c>
      <c r="AU11" s="31">
        <f>'Output Produzione'!$G$45*'Prezzi Energia Vari'!$B$27*0.65*1.1*1.006374</f>
        <v>30049485.928913884</v>
      </c>
      <c r="AV11" s="31">
        <f>AU11*1.006374</f>
        <v>30241021.352224786</v>
      </c>
      <c r="AW11" s="31">
        <f t="shared" ref="AW11:BJ11" si="9">AV11*1.006374</f>
        <v>30433777.622323871</v>
      </c>
      <c r="AX11" s="31">
        <f t="shared" si="9"/>
        <v>30627762.520888567</v>
      </c>
      <c r="AY11" s="31">
        <f t="shared" si="9"/>
        <v>30822983.879196715</v>
      </c>
      <c r="AZ11" s="31">
        <f t="shared" si="9"/>
        <v>31019449.578442719</v>
      </c>
      <c r="BA11" s="31">
        <f t="shared" si="9"/>
        <v>31217167.550055716</v>
      </c>
      <c r="BB11" s="31">
        <f t="shared" si="9"/>
        <v>31416145.776019774</v>
      </c>
      <c r="BC11" s="31">
        <f t="shared" si="9"/>
        <v>31616392.289196126</v>
      </c>
      <c r="BD11" s="31">
        <f t="shared" si="9"/>
        <v>31817915.173647467</v>
      </c>
      <c r="BE11" s="31">
        <f t="shared" si="9"/>
        <v>32020722.564964298</v>
      </c>
      <c r="BF11" s="31">
        <f t="shared" si="9"/>
        <v>32224822.650593385</v>
      </c>
      <c r="BG11" s="31">
        <f t="shared" si="9"/>
        <v>32430223.670168269</v>
      </c>
      <c r="BH11" s="31">
        <f t="shared" si="9"/>
        <v>32636933.915841926</v>
      </c>
      <c r="BI11" s="31">
        <f t="shared" si="9"/>
        <v>32844961.732621506</v>
      </c>
      <c r="BJ11" s="31">
        <f t="shared" si="9"/>
        <v>33054315.518705238</v>
      </c>
    </row>
    <row r="12" spans="1:64" s="24" customFormat="1" x14ac:dyDescent="0.3">
      <c r="A12" s="33" t="s">
        <v>64</v>
      </c>
      <c r="B12" s="34"/>
      <c r="C12" s="34">
        <f t="shared" ref="C12:AH12" si="10">C9+C10+C11</f>
        <v>351539832.70884144</v>
      </c>
      <c r="D12" s="34">
        <f t="shared" si="10"/>
        <v>353780632.49939722</v>
      </c>
      <c r="E12" s="34">
        <f t="shared" si="10"/>
        <v>356035630.25094843</v>
      </c>
      <c r="F12" s="34">
        <f t="shared" si="10"/>
        <v>358305001.35816801</v>
      </c>
      <c r="G12" s="34">
        <f t="shared" si="10"/>
        <v>360588837.43682498</v>
      </c>
      <c r="H12" s="34">
        <f t="shared" si="10"/>
        <v>362887230.68664736</v>
      </c>
      <c r="I12" s="34">
        <f t="shared" si="10"/>
        <v>365200273.89504409</v>
      </c>
      <c r="J12" s="34">
        <f t="shared" si="10"/>
        <v>367528060.44085115</v>
      </c>
      <c r="K12" s="34">
        <f t="shared" si="10"/>
        <v>369870684.29810119</v>
      </c>
      <c r="L12" s="34">
        <f t="shared" si="10"/>
        <v>372228240.03981733</v>
      </c>
      <c r="M12" s="34">
        <f t="shared" si="10"/>
        <v>374600822.84183115</v>
      </c>
      <c r="N12" s="34">
        <f t="shared" si="10"/>
        <v>376988528.48662502</v>
      </c>
      <c r="O12" s="34">
        <f t="shared" si="10"/>
        <v>379391453.36719882</v>
      </c>
      <c r="P12" s="34">
        <f t="shared" si="10"/>
        <v>381809694.49096137</v>
      </c>
      <c r="Q12" s="34">
        <f t="shared" si="10"/>
        <v>384243349.48364681</v>
      </c>
      <c r="R12" s="34">
        <f t="shared" si="10"/>
        <v>389823768.80642456</v>
      </c>
      <c r="S12" s="34">
        <f t="shared" si="10"/>
        <v>392308505.50879675</v>
      </c>
      <c r="T12" s="34">
        <f t="shared" si="10"/>
        <v>394809079.92290986</v>
      </c>
      <c r="U12" s="34">
        <f t="shared" si="10"/>
        <v>397325592.99833852</v>
      </c>
      <c r="V12" s="34">
        <f t="shared" si="10"/>
        <v>399858146.32810998</v>
      </c>
      <c r="W12" s="34">
        <f t="shared" si="10"/>
        <v>168257432.6461671</v>
      </c>
      <c r="X12" s="34">
        <f t="shared" si="10"/>
        <v>168921370.77208659</v>
      </c>
      <c r="Y12" s="34">
        <f t="shared" si="10"/>
        <v>169589540.83962068</v>
      </c>
      <c r="Z12" s="34">
        <f t="shared" si="10"/>
        <v>170261969.82316521</v>
      </c>
      <c r="AA12" s="34">
        <f t="shared" si="10"/>
        <v>170938684.86905089</v>
      </c>
      <c r="AB12" s="34">
        <f t="shared" si="10"/>
        <v>171619713.296639</v>
      </c>
      <c r="AC12" s="34">
        <f t="shared" si="10"/>
        <v>172305082.5994246</v>
      </c>
      <c r="AD12" s="34">
        <f t="shared" si="10"/>
        <v>172994820.44614616</v>
      </c>
      <c r="AE12" s="34">
        <f t="shared" si="10"/>
        <v>173688954.68190268</v>
      </c>
      <c r="AF12" s="34">
        <f t="shared" si="10"/>
        <v>174387513.32927796</v>
      </c>
      <c r="AG12" s="34">
        <f t="shared" si="10"/>
        <v>175494065.9794867</v>
      </c>
      <c r="AH12" s="34">
        <f t="shared" si="10"/>
        <v>176612665.15603995</v>
      </c>
      <c r="AI12" s="34">
        <f t="shared" ref="AI12:BJ12" si="11">AI9+AI10+AI11</f>
        <v>177738394.28374454</v>
      </c>
      <c r="AJ12" s="34">
        <f t="shared" si="11"/>
        <v>178871298.80890918</v>
      </c>
      <c r="AK12" s="34">
        <f t="shared" si="11"/>
        <v>180011424.46751717</v>
      </c>
      <c r="AL12" s="34">
        <f t="shared" si="11"/>
        <v>181158817.28707314</v>
      </c>
      <c r="AM12" s="34">
        <f t="shared" si="11"/>
        <v>182313523.58846095</v>
      </c>
      <c r="AN12" s="34">
        <f t="shared" si="11"/>
        <v>183475589.98781383</v>
      </c>
      <c r="AO12" s="34">
        <f t="shared" si="11"/>
        <v>184645063.39839616</v>
      </c>
      <c r="AP12" s="34">
        <f t="shared" si="11"/>
        <v>185821991.03249756</v>
      </c>
      <c r="AQ12" s="34">
        <f t="shared" si="11"/>
        <v>187006420.4033387</v>
      </c>
      <c r="AR12" s="34">
        <f t="shared" si="11"/>
        <v>188198399.32698959</v>
      </c>
      <c r="AS12" s="34">
        <f t="shared" si="11"/>
        <v>189397975.92429984</v>
      </c>
      <c r="AT12" s="34">
        <f t="shared" si="11"/>
        <v>190605198.62284136</v>
      </c>
      <c r="AU12" s="34">
        <f t="shared" si="11"/>
        <v>191620731.87517881</v>
      </c>
      <c r="AV12" s="34">
        <f t="shared" si="11"/>
        <v>199812620.36327043</v>
      </c>
      <c r="AW12" s="34">
        <f t="shared" si="11"/>
        <v>201086226.00546592</v>
      </c>
      <c r="AX12" s="34">
        <f t="shared" si="11"/>
        <v>202367949.61002481</v>
      </c>
      <c r="AY12" s="34">
        <f t="shared" si="11"/>
        <v>203657842.9208391</v>
      </c>
      <c r="AZ12" s="34">
        <f t="shared" si="11"/>
        <v>204955958.01161656</v>
      </c>
      <c r="BA12" s="34">
        <f t="shared" si="11"/>
        <v>206262347.28798264</v>
      </c>
      <c r="BB12" s="34">
        <f t="shared" si="11"/>
        <v>207577063.48959628</v>
      </c>
      <c r="BC12" s="34">
        <f t="shared" si="11"/>
        <v>208900159.69227895</v>
      </c>
      <c r="BD12" s="34">
        <f t="shared" si="11"/>
        <v>210231689.31015757</v>
      </c>
      <c r="BE12" s="34">
        <f t="shared" si="11"/>
        <v>211571706.09782052</v>
      </c>
      <c r="BF12" s="34">
        <f t="shared" si="11"/>
        <v>212920264.15248805</v>
      </c>
      <c r="BG12" s="34">
        <f t="shared" si="11"/>
        <v>214277417.91619605</v>
      </c>
      <c r="BH12" s="34">
        <f t="shared" si="11"/>
        <v>215643222.17799392</v>
      </c>
      <c r="BI12" s="34">
        <f t="shared" si="11"/>
        <v>217017732.07615644</v>
      </c>
      <c r="BJ12" s="34">
        <f t="shared" si="11"/>
        <v>218401003.10040992</v>
      </c>
    </row>
    <row r="13" spans="1:64" s="24" customFormat="1" x14ac:dyDescent="0.3">
      <c r="A13" s="27" t="s">
        <v>65</v>
      </c>
      <c r="B13" s="31"/>
      <c r="C13" s="31">
        <f>-('OPEX and CAPEX'!$E$4)*0.97650215</f>
        <v>-94369959.289582685</v>
      </c>
      <c r="D13" s="31">
        <f t="shared" ref="D13:Q13" si="12">C13*0.97650215</f>
        <v>-92152468.141689956</v>
      </c>
      <c r="E13" s="31">
        <f t="shared" si="12"/>
        <v>-89987083.268166736</v>
      </c>
      <c r="F13" s="31">
        <f t="shared" si="12"/>
        <v>-87872580.283593833</v>
      </c>
      <c r="G13" s="31">
        <f t="shared" si="12"/>
        <v>-85807763.572976992</v>
      </c>
      <c r="H13" s="31">
        <f t="shared" si="12"/>
        <v>-83791465.615703717</v>
      </c>
      <c r="I13" s="31">
        <f t="shared" si="12"/>
        <v>-81822546.325385749</v>
      </c>
      <c r="J13" s="31">
        <f t="shared" si="12"/>
        <v>-79899892.405213773</v>
      </c>
      <c r="K13" s="31">
        <f t="shared" si="12"/>
        <v>-78022416.718459919</v>
      </c>
      <c r="L13" s="31">
        <f t="shared" si="12"/>
        <v>-76189057.673772052</v>
      </c>
      <c r="M13" s="31">
        <f t="shared" si="12"/>
        <v>-74398778.624912411</v>
      </c>
      <c r="N13" s="31">
        <f t="shared" si="12"/>
        <v>-72650567.284601003</v>
      </c>
      <c r="O13" s="31">
        <f t="shared" si="12"/>
        <v>-70943435.152132541</v>
      </c>
      <c r="P13" s="31">
        <f t="shared" si="12"/>
        <v>-69276416.954443008</v>
      </c>
      <c r="Q13" s="31">
        <f t="shared" si="12"/>
        <v>-67648570.100310043</v>
      </c>
      <c r="R13" s="31">
        <f>-('OPEX and CAPEX'!$E$4)*0.7*0.993</f>
        <v>-67175027.420255989</v>
      </c>
      <c r="S13" s="31">
        <f t="shared" ref="S13:AF13" si="13">R13*0.993</f>
        <v>-66704802.228314199</v>
      </c>
      <c r="T13" s="31">
        <f t="shared" si="13"/>
        <v>-66237868.612715997</v>
      </c>
      <c r="U13" s="31">
        <f t="shared" si="13"/>
        <v>-65774203.532426983</v>
      </c>
      <c r="V13" s="31">
        <f t="shared" si="13"/>
        <v>-65313784.10769999</v>
      </c>
      <c r="W13" s="31">
        <f t="shared" si="13"/>
        <v>-64856587.61894609</v>
      </c>
      <c r="X13" s="31">
        <f t="shared" si="13"/>
        <v>-64402591.505613469</v>
      </c>
      <c r="Y13" s="31">
        <f t="shared" si="13"/>
        <v>-63951773.365074173</v>
      </c>
      <c r="Z13" s="31">
        <f t="shared" si="13"/>
        <v>-63504110.951518655</v>
      </c>
      <c r="AA13" s="31">
        <f t="shared" si="13"/>
        <v>-63059582.174858026</v>
      </c>
      <c r="AB13" s="31">
        <f t="shared" si="13"/>
        <v>-62618165.099634022</v>
      </c>
      <c r="AC13" s="31">
        <f t="shared" si="13"/>
        <v>-62179837.943936586</v>
      </c>
      <c r="AD13" s="31">
        <f t="shared" si="13"/>
        <v>-61744579.078329027</v>
      </c>
      <c r="AE13" s="31">
        <f t="shared" si="13"/>
        <v>-61312367.02478072</v>
      </c>
      <c r="AF13" s="31">
        <f t="shared" si="13"/>
        <v>-60883180.455607258</v>
      </c>
      <c r="AG13" s="31">
        <f t="shared" ref="AG13:BJ13" si="14">AF13</f>
        <v>-60883180.455607258</v>
      </c>
      <c r="AH13" s="31">
        <f t="shared" si="14"/>
        <v>-60883180.455607258</v>
      </c>
      <c r="AI13" s="31">
        <f t="shared" si="14"/>
        <v>-60883180.455607258</v>
      </c>
      <c r="AJ13" s="31">
        <f t="shared" si="14"/>
        <v>-60883180.455607258</v>
      </c>
      <c r="AK13" s="31">
        <f t="shared" si="14"/>
        <v>-60883180.455607258</v>
      </c>
      <c r="AL13" s="31">
        <f t="shared" si="14"/>
        <v>-60883180.455607258</v>
      </c>
      <c r="AM13" s="31">
        <f t="shared" si="14"/>
        <v>-60883180.455607258</v>
      </c>
      <c r="AN13" s="31">
        <f t="shared" si="14"/>
        <v>-60883180.455607258</v>
      </c>
      <c r="AO13" s="31">
        <f t="shared" si="14"/>
        <v>-60883180.455607258</v>
      </c>
      <c r="AP13" s="31">
        <f t="shared" si="14"/>
        <v>-60883180.455607258</v>
      </c>
      <c r="AQ13" s="31">
        <f t="shared" si="14"/>
        <v>-60883180.455607258</v>
      </c>
      <c r="AR13" s="31">
        <f t="shared" si="14"/>
        <v>-60883180.455607258</v>
      </c>
      <c r="AS13" s="31">
        <f t="shared" si="14"/>
        <v>-60883180.455607258</v>
      </c>
      <c r="AT13" s="31">
        <f t="shared" si="14"/>
        <v>-60883180.455607258</v>
      </c>
      <c r="AU13" s="31">
        <f t="shared" si="14"/>
        <v>-60883180.455607258</v>
      </c>
      <c r="AV13" s="31">
        <f t="shared" si="14"/>
        <v>-60883180.455607258</v>
      </c>
      <c r="AW13" s="31">
        <f t="shared" si="14"/>
        <v>-60883180.455607258</v>
      </c>
      <c r="AX13" s="31">
        <f t="shared" si="14"/>
        <v>-60883180.455607258</v>
      </c>
      <c r="AY13" s="31">
        <f t="shared" si="14"/>
        <v>-60883180.455607258</v>
      </c>
      <c r="AZ13" s="31">
        <f t="shared" si="14"/>
        <v>-60883180.455607258</v>
      </c>
      <c r="BA13" s="31">
        <f t="shared" si="14"/>
        <v>-60883180.455607258</v>
      </c>
      <c r="BB13" s="31">
        <f t="shared" si="14"/>
        <v>-60883180.455607258</v>
      </c>
      <c r="BC13" s="31">
        <f t="shared" si="14"/>
        <v>-60883180.455607258</v>
      </c>
      <c r="BD13" s="31">
        <f t="shared" si="14"/>
        <v>-60883180.455607258</v>
      </c>
      <c r="BE13" s="31">
        <f t="shared" si="14"/>
        <v>-60883180.455607258</v>
      </c>
      <c r="BF13" s="31">
        <f t="shared" si="14"/>
        <v>-60883180.455607258</v>
      </c>
      <c r="BG13" s="31">
        <f t="shared" si="14"/>
        <v>-60883180.455607258</v>
      </c>
      <c r="BH13" s="31">
        <f t="shared" si="14"/>
        <v>-60883180.455607258</v>
      </c>
      <c r="BI13" s="31">
        <f t="shared" si="14"/>
        <v>-60883180.455607258</v>
      </c>
      <c r="BJ13" s="31">
        <f t="shared" si="14"/>
        <v>-60883180.455607258</v>
      </c>
    </row>
    <row r="14" spans="1:64" s="24" customFormat="1" x14ac:dyDescent="0.3">
      <c r="A14" s="27" t="s">
        <v>66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>
        <f>'Base Case'!V13</f>
        <v>-4658231.3864475349</v>
      </c>
      <c r="X14" s="31">
        <f t="shared" ref="X14:AF14" si="15">W14*0.993</f>
        <v>-4625623.7667424018</v>
      </c>
      <c r="Y14" s="31">
        <f t="shared" si="15"/>
        <v>-4593244.4003752051</v>
      </c>
      <c r="Z14" s="31">
        <f t="shared" si="15"/>
        <v>-4561091.6895725783</v>
      </c>
      <c r="AA14" s="31">
        <f t="shared" si="15"/>
        <v>-4529164.0477455705</v>
      </c>
      <c r="AB14" s="31">
        <f t="shared" si="15"/>
        <v>-4497459.8994113514</v>
      </c>
      <c r="AC14" s="31">
        <f t="shared" si="15"/>
        <v>-4465977.6801154716</v>
      </c>
      <c r="AD14" s="31">
        <f t="shared" si="15"/>
        <v>-4434715.8363546636</v>
      </c>
      <c r="AE14" s="31">
        <f t="shared" si="15"/>
        <v>-4403672.8255001809</v>
      </c>
      <c r="AF14" s="31">
        <f t="shared" si="15"/>
        <v>-4372847.1157216793</v>
      </c>
      <c r="AG14" s="31">
        <f t="shared" ref="AG14:BJ14" si="16">AF14</f>
        <v>-4372847.1157216793</v>
      </c>
      <c r="AH14" s="31">
        <f t="shared" si="16"/>
        <v>-4372847.1157216793</v>
      </c>
      <c r="AI14" s="31">
        <f t="shared" si="16"/>
        <v>-4372847.1157216793</v>
      </c>
      <c r="AJ14" s="31">
        <f t="shared" si="16"/>
        <v>-4372847.1157216793</v>
      </c>
      <c r="AK14" s="31">
        <f t="shared" si="16"/>
        <v>-4372847.1157216793</v>
      </c>
      <c r="AL14" s="31">
        <f t="shared" si="16"/>
        <v>-4372847.1157216793</v>
      </c>
      <c r="AM14" s="31">
        <f t="shared" si="16"/>
        <v>-4372847.1157216793</v>
      </c>
      <c r="AN14" s="31">
        <f t="shared" si="16"/>
        <v>-4372847.1157216793</v>
      </c>
      <c r="AO14" s="31">
        <f t="shared" si="16"/>
        <v>-4372847.1157216793</v>
      </c>
      <c r="AP14" s="31">
        <f t="shared" si="16"/>
        <v>-4372847.1157216793</v>
      </c>
      <c r="AQ14" s="31">
        <f t="shared" si="16"/>
        <v>-4372847.1157216793</v>
      </c>
      <c r="AR14" s="31">
        <f t="shared" si="16"/>
        <v>-4372847.1157216793</v>
      </c>
      <c r="AS14" s="31">
        <f t="shared" si="16"/>
        <v>-4372847.1157216793</v>
      </c>
      <c r="AT14" s="31">
        <f t="shared" si="16"/>
        <v>-4372847.1157216793</v>
      </c>
      <c r="AU14" s="31">
        <f t="shared" si="16"/>
        <v>-4372847.1157216793</v>
      </c>
      <c r="AV14" s="31">
        <f t="shared" si="16"/>
        <v>-4372847.1157216793</v>
      </c>
      <c r="AW14" s="31">
        <f t="shared" si="16"/>
        <v>-4372847.1157216793</v>
      </c>
      <c r="AX14" s="31">
        <f t="shared" si="16"/>
        <v>-4372847.1157216793</v>
      </c>
      <c r="AY14" s="31">
        <f t="shared" si="16"/>
        <v>-4372847.1157216793</v>
      </c>
      <c r="AZ14" s="31">
        <f t="shared" si="16"/>
        <v>-4372847.1157216793</v>
      </c>
      <c r="BA14" s="31">
        <f t="shared" si="16"/>
        <v>-4372847.1157216793</v>
      </c>
      <c r="BB14" s="31">
        <f t="shared" si="16"/>
        <v>-4372847.1157216793</v>
      </c>
      <c r="BC14" s="31">
        <f t="shared" si="16"/>
        <v>-4372847.1157216793</v>
      </c>
      <c r="BD14" s="31">
        <f t="shared" si="16"/>
        <v>-4372847.1157216793</v>
      </c>
      <c r="BE14" s="31">
        <f t="shared" si="16"/>
        <v>-4372847.1157216793</v>
      </c>
      <c r="BF14" s="31">
        <f t="shared" si="16"/>
        <v>-4372847.1157216793</v>
      </c>
      <c r="BG14" s="31">
        <f t="shared" si="16"/>
        <v>-4372847.1157216793</v>
      </c>
      <c r="BH14" s="31">
        <f t="shared" si="16"/>
        <v>-4372847.1157216793</v>
      </c>
      <c r="BI14" s="31">
        <f t="shared" si="16"/>
        <v>-4372847.1157216793</v>
      </c>
      <c r="BJ14" s="31">
        <f t="shared" si="16"/>
        <v>-4372847.1157216793</v>
      </c>
    </row>
    <row r="15" spans="1:64" s="24" customFormat="1" x14ac:dyDescent="0.3">
      <c r="A15" s="27" t="s">
        <v>67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>
        <f>'Base Case'!V14</f>
        <v>0</v>
      </c>
      <c r="X15" s="31">
        <f>W15*'OPEX and CAPEX'!$O$20</f>
        <v>0</v>
      </c>
      <c r="Y15" s="31">
        <f>X15*'OPEX and CAPEX'!$O$20</f>
        <v>0</v>
      </c>
      <c r="Z15" s="31">
        <f>Y15*'OPEX and CAPEX'!$O$20</f>
        <v>0</v>
      </c>
      <c r="AA15" s="31">
        <f>Z15*'OPEX and CAPEX'!$O$20</f>
        <v>0</v>
      </c>
      <c r="AB15" s="31">
        <f>AA15*'OPEX and CAPEX'!$O$20</f>
        <v>0</v>
      </c>
      <c r="AC15" s="31">
        <f>AB15*'OPEX and CAPEX'!$O$20</f>
        <v>0</v>
      </c>
      <c r="AD15" s="31">
        <f>AC15*'OPEX and CAPEX'!$O$20</f>
        <v>0</v>
      </c>
      <c r="AE15" s="31">
        <f>AD15*'OPEX and CAPEX'!$O$20</f>
        <v>0</v>
      </c>
      <c r="AF15" s="31">
        <f>AE15*'OPEX and CAPEX'!$O$20</f>
        <v>0</v>
      </c>
      <c r="AG15" s="31">
        <f>-('OPEX and CAPEX'!$Q$4)*0.65*0.6933*'OPEX and CAPEX'!$P$20</f>
        <v>0</v>
      </c>
      <c r="AH15" s="31">
        <f>AG15*'OPEX and CAPEX'!$P$20</f>
        <v>0</v>
      </c>
      <c r="AI15" s="31">
        <f>AH15*'OPEX and CAPEX'!$P$20</f>
        <v>0</v>
      </c>
      <c r="AJ15" s="31">
        <f>AI15*'OPEX and CAPEX'!$P$20</f>
        <v>0</v>
      </c>
      <c r="AK15" s="31">
        <f>AJ15*'OPEX and CAPEX'!$P$20</f>
        <v>0</v>
      </c>
      <c r="AL15" s="31">
        <f>AK15*'OPEX and CAPEX'!$P$20</f>
        <v>0</v>
      </c>
      <c r="AM15" s="31">
        <f>AL15*'OPEX and CAPEX'!$P$20</f>
        <v>0</v>
      </c>
      <c r="AN15" s="31">
        <f>AM15*'OPEX and CAPEX'!$P$20</f>
        <v>0</v>
      </c>
      <c r="AO15" s="31">
        <f>AN15*'OPEX and CAPEX'!$P$20</f>
        <v>0</v>
      </c>
      <c r="AP15" s="31">
        <f>AO15*'OPEX and CAPEX'!$P$20</f>
        <v>0</v>
      </c>
      <c r="AQ15" s="31">
        <f>AP15*'OPEX and CAPEX'!$P$20</f>
        <v>0</v>
      </c>
      <c r="AR15" s="31">
        <f>AQ15*'OPEX and CAPEX'!$P$20</f>
        <v>0</v>
      </c>
      <c r="AS15" s="31">
        <f>AR15*'OPEX and CAPEX'!$P$20</f>
        <v>0</v>
      </c>
      <c r="AT15" s="31">
        <f>AS15*'OPEX and CAPEX'!$P$20</f>
        <v>0</v>
      </c>
      <c r="AU15" s="31">
        <f>AT15*'OPEX and CAPEX'!$P$20</f>
        <v>0</v>
      </c>
      <c r="AV15" s="31">
        <f>-('OPEX and CAPEX'!$R$4)*0.65*0.6933*0.7222*'OPEX and CAPEX'!$Q$20</f>
        <v>0</v>
      </c>
      <c r="AW15" s="31">
        <f>-('OPEX and CAPEX'!$R$4)*0.65*0.6933*0.7222*'OPEX and CAPEX'!$Q$20</f>
        <v>0</v>
      </c>
      <c r="AX15" s="31">
        <f>-('OPEX and CAPEX'!$R$4)*0.65*0.6933*0.7222*'OPEX and CAPEX'!$Q$20</f>
        <v>0</v>
      </c>
      <c r="AY15" s="31">
        <f>-('OPEX and CAPEX'!$R$4)*0.65*0.6933*0.7222*'OPEX and CAPEX'!$Q$20</f>
        <v>0</v>
      </c>
      <c r="AZ15" s="31">
        <f>-('OPEX and CAPEX'!$R$4)*0.65*0.6933*0.7222*'OPEX and CAPEX'!$Q$20</f>
        <v>0</v>
      </c>
      <c r="BA15" s="31">
        <f>-('OPEX and CAPEX'!$R$4)*0.65*0.6933*0.7222*'OPEX and CAPEX'!$Q$20</f>
        <v>0</v>
      </c>
      <c r="BB15" s="31">
        <f>-('OPEX and CAPEX'!$R$4)*0.65*0.6933*0.7222*'OPEX and CAPEX'!$Q$20</f>
        <v>0</v>
      </c>
      <c r="BC15" s="31">
        <f>-('OPEX and CAPEX'!$R$4)*0.65*0.6933*0.7222*'OPEX and CAPEX'!$Q$20</f>
        <v>0</v>
      </c>
      <c r="BD15" s="31">
        <f>-('OPEX and CAPEX'!$R$4)*0.65*0.6933*0.7222*'OPEX and CAPEX'!$Q$20</f>
        <v>0</v>
      </c>
      <c r="BE15" s="31">
        <f>-('OPEX and CAPEX'!$R$4)*0.65*0.6933*0.7222*'OPEX and CAPEX'!$Q$20</f>
        <v>0</v>
      </c>
      <c r="BF15" s="31">
        <f>-('OPEX and CAPEX'!$R$4)*0.65*0.6933*0.7222*'OPEX and CAPEX'!$Q$20</f>
        <v>0</v>
      </c>
      <c r="BG15" s="31">
        <f>-('OPEX and CAPEX'!$R$4)*0.65*0.6933*0.7222*'OPEX and CAPEX'!$Q$20</f>
        <v>0</v>
      </c>
      <c r="BH15" s="31">
        <f>-('OPEX and CAPEX'!$R$4)*0.65*0.6933*0.7222*'OPEX and CAPEX'!$Q$20</f>
        <v>0</v>
      </c>
      <c r="BI15" s="31">
        <f>-('OPEX and CAPEX'!$R$4)*0.65*0.6933*0.7222*'OPEX and CAPEX'!$Q$20</f>
        <v>0</v>
      </c>
      <c r="BJ15" s="31">
        <f>-('OPEX and CAPEX'!$R$4)*0.65*0.6933*0.7222*'OPEX and CAPEX'!$Q$20</f>
        <v>0</v>
      </c>
    </row>
    <row r="16" spans="1:64" s="24" customFormat="1" x14ac:dyDescent="0.3">
      <c r="A16" s="73" t="s">
        <v>68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>
        <f>'Base Case'!V15</f>
        <v>-327355</v>
      </c>
      <c r="X16" s="74">
        <f>-'OPEX and CAPEX'!$E$22</f>
        <v>-327355</v>
      </c>
      <c r="Y16" s="74">
        <f>-'OPEX and CAPEX'!$E$22</f>
        <v>-327355</v>
      </c>
      <c r="Z16" s="74">
        <f>-'OPEX and CAPEX'!$E$22</f>
        <v>-327355</v>
      </c>
      <c r="AA16" s="74">
        <f>-'OPEX and CAPEX'!$E$22</f>
        <v>-327355</v>
      </c>
      <c r="AB16" s="74">
        <f>-'OPEX and CAPEX'!$E$22</f>
        <v>-327355</v>
      </c>
      <c r="AC16" s="74">
        <f>-'OPEX and CAPEX'!$E$22</f>
        <v>-327355</v>
      </c>
      <c r="AD16" s="74">
        <f>-'OPEX and CAPEX'!$E$22</f>
        <v>-327355</v>
      </c>
      <c r="AE16" s="74">
        <f>-'OPEX and CAPEX'!$E$22</f>
        <v>-327355</v>
      </c>
      <c r="AF16" s="74">
        <f>-'OPEX and CAPEX'!$E$22</f>
        <v>-327355</v>
      </c>
      <c r="AG16" s="74">
        <f>-'OPEX and CAPEX'!$E$22</f>
        <v>-327355</v>
      </c>
      <c r="AH16" s="74">
        <f>-'OPEX and CAPEX'!$E$22</f>
        <v>-327355</v>
      </c>
      <c r="AI16" s="74">
        <f>-'OPEX and CAPEX'!$E$22</f>
        <v>-327355</v>
      </c>
      <c r="AJ16" s="74">
        <f>-'OPEX and CAPEX'!$E$22</f>
        <v>-327355</v>
      </c>
      <c r="AK16" s="74">
        <f>-'OPEX and CAPEX'!$E$22</f>
        <v>-327355</v>
      </c>
      <c r="AL16" s="74">
        <f>-'OPEX and CAPEX'!$E$22</f>
        <v>-327355</v>
      </c>
      <c r="AM16" s="74">
        <f>-'OPEX and CAPEX'!$E$22</f>
        <v>-327355</v>
      </c>
      <c r="AN16" s="74">
        <f>-'OPEX and CAPEX'!$E$22</f>
        <v>-327355</v>
      </c>
      <c r="AO16" s="74">
        <f>-'OPEX and CAPEX'!$E$22</f>
        <v>-327355</v>
      </c>
      <c r="AP16" s="74">
        <f>-'OPEX and CAPEX'!$E$22</f>
        <v>-327355</v>
      </c>
      <c r="AQ16" s="74">
        <f>-'OPEX and CAPEX'!$E$22</f>
        <v>-327355</v>
      </c>
      <c r="AR16" s="74">
        <f>-'OPEX and CAPEX'!$E$22</f>
        <v>-327355</v>
      </c>
      <c r="AS16" s="74">
        <f>-'OPEX and CAPEX'!$E$22</f>
        <v>-327355</v>
      </c>
      <c r="AT16" s="74">
        <f>-'OPEX and CAPEX'!$E$22</f>
        <v>-327355</v>
      </c>
      <c r="AU16" s="74">
        <f>-'OPEX and CAPEX'!$E$22</f>
        <v>-327355</v>
      </c>
      <c r="AV16" s="74">
        <f>-'OPEX and CAPEX'!$E$22</f>
        <v>-327355</v>
      </c>
      <c r="AW16" s="74">
        <f>-'OPEX and CAPEX'!$E$22</f>
        <v>-327355</v>
      </c>
      <c r="AX16" s="74">
        <f>-'OPEX and CAPEX'!$E$22</f>
        <v>-327355</v>
      </c>
      <c r="AY16" s="74">
        <f>-'OPEX and CAPEX'!$E$22</f>
        <v>-327355</v>
      </c>
      <c r="AZ16" s="74">
        <f>-'OPEX and CAPEX'!$E$22</f>
        <v>-327355</v>
      </c>
      <c r="BA16" s="74">
        <f>-'OPEX and CAPEX'!$E$22</f>
        <v>-327355</v>
      </c>
      <c r="BB16" s="74">
        <f>-'OPEX and CAPEX'!$E$22</f>
        <v>-327355</v>
      </c>
      <c r="BC16" s="74">
        <f>-'OPEX and CAPEX'!$E$22</f>
        <v>-327355</v>
      </c>
      <c r="BD16" s="74">
        <f>-'OPEX and CAPEX'!$E$22</f>
        <v>-327355</v>
      </c>
      <c r="BE16" s="74">
        <f>-'OPEX and CAPEX'!$E$22</f>
        <v>-327355</v>
      </c>
      <c r="BF16" s="74">
        <f>-'OPEX and CAPEX'!$E$22</f>
        <v>-327355</v>
      </c>
      <c r="BG16" s="74">
        <f>-'OPEX and CAPEX'!$E$22</f>
        <v>-327355</v>
      </c>
      <c r="BH16" s="74">
        <f>-'OPEX and CAPEX'!$E$22</f>
        <v>-327355</v>
      </c>
      <c r="BI16" s="74">
        <f>-'OPEX and CAPEX'!$E$22</f>
        <v>-327355</v>
      </c>
      <c r="BJ16" s="74">
        <f>-'OPEX and CAPEX'!$E$22</f>
        <v>-327355</v>
      </c>
    </row>
    <row r="17" spans="1:63" x14ac:dyDescent="0.3">
      <c r="A17" s="33" t="s">
        <v>69</v>
      </c>
      <c r="B17" s="34"/>
      <c r="C17" s="34">
        <f t="shared" ref="C17:AH17" si="17">C13+C14+C15+C16</f>
        <v>-94369959.289582685</v>
      </c>
      <c r="D17" s="34">
        <f t="shared" si="17"/>
        <v>-92152468.141689956</v>
      </c>
      <c r="E17" s="34">
        <f t="shared" si="17"/>
        <v>-89987083.268166736</v>
      </c>
      <c r="F17" s="34">
        <f t="shared" si="17"/>
        <v>-87872580.283593833</v>
      </c>
      <c r="G17" s="34">
        <f t="shared" si="17"/>
        <v>-85807763.572976992</v>
      </c>
      <c r="H17" s="34">
        <f t="shared" si="17"/>
        <v>-83791465.615703717</v>
      </c>
      <c r="I17" s="34">
        <f t="shared" si="17"/>
        <v>-81822546.325385749</v>
      </c>
      <c r="J17" s="34">
        <f t="shared" si="17"/>
        <v>-79899892.405213773</v>
      </c>
      <c r="K17" s="34">
        <f t="shared" si="17"/>
        <v>-78022416.718459919</v>
      </c>
      <c r="L17" s="34">
        <f t="shared" si="17"/>
        <v>-76189057.673772052</v>
      </c>
      <c r="M17" s="34">
        <f t="shared" si="17"/>
        <v>-74398778.624912411</v>
      </c>
      <c r="N17" s="34">
        <f t="shared" si="17"/>
        <v>-72650567.284601003</v>
      </c>
      <c r="O17" s="34">
        <f t="shared" si="17"/>
        <v>-70943435.152132541</v>
      </c>
      <c r="P17" s="34">
        <f t="shared" si="17"/>
        <v>-69276416.954443008</v>
      </c>
      <c r="Q17" s="34">
        <f t="shared" si="17"/>
        <v>-67648570.100310043</v>
      </c>
      <c r="R17" s="34">
        <f t="shared" si="17"/>
        <v>-67175027.420255989</v>
      </c>
      <c r="S17" s="34">
        <f t="shared" si="17"/>
        <v>-66704802.228314199</v>
      </c>
      <c r="T17" s="34">
        <f t="shared" si="17"/>
        <v>-66237868.612715997</v>
      </c>
      <c r="U17" s="34">
        <f t="shared" si="17"/>
        <v>-65774203.532426983</v>
      </c>
      <c r="V17" s="34">
        <f t="shared" si="17"/>
        <v>-65313784.10769999</v>
      </c>
      <c r="W17" s="34">
        <f t="shared" si="17"/>
        <v>-69842174.005393624</v>
      </c>
      <c r="X17" s="34">
        <f t="shared" si="17"/>
        <v>-69355570.272355869</v>
      </c>
      <c r="Y17" s="34">
        <f t="shared" si="17"/>
        <v>-68872372.765449375</v>
      </c>
      <c r="Z17" s="34">
        <f t="shared" si="17"/>
        <v>-68392557.641091228</v>
      </c>
      <c r="AA17" s="34">
        <f t="shared" si="17"/>
        <v>-67916101.222603589</v>
      </c>
      <c r="AB17" s="34">
        <f t="shared" si="17"/>
        <v>-67442979.999045372</v>
      </c>
      <c r="AC17" s="34">
        <f t="shared" si="17"/>
        <v>-66973170.624052055</v>
      </c>
      <c r="AD17" s="34">
        <f t="shared" si="17"/>
        <v>-66506649.914683692</v>
      </c>
      <c r="AE17" s="34">
        <f t="shared" si="17"/>
        <v>-66043394.850280903</v>
      </c>
      <c r="AF17" s="34">
        <f t="shared" si="17"/>
        <v>-65583382.571328938</v>
      </c>
      <c r="AG17" s="34">
        <f t="shared" si="17"/>
        <v>-65583382.571328938</v>
      </c>
      <c r="AH17" s="34">
        <f t="shared" si="17"/>
        <v>-65583382.571328938</v>
      </c>
      <c r="AI17" s="34">
        <f t="shared" ref="AI17:BJ17" si="18">AI13+AI14+AI15+AI16</f>
        <v>-65583382.571328938</v>
      </c>
      <c r="AJ17" s="34">
        <f t="shared" si="18"/>
        <v>-65583382.571328938</v>
      </c>
      <c r="AK17" s="34">
        <f t="shared" si="18"/>
        <v>-65583382.571328938</v>
      </c>
      <c r="AL17" s="34">
        <f t="shared" si="18"/>
        <v>-65583382.571328938</v>
      </c>
      <c r="AM17" s="34">
        <f t="shared" si="18"/>
        <v>-65583382.571328938</v>
      </c>
      <c r="AN17" s="34">
        <f t="shared" si="18"/>
        <v>-65583382.571328938</v>
      </c>
      <c r="AO17" s="34">
        <f t="shared" si="18"/>
        <v>-65583382.571328938</v>
      </c>
      <c r="AP17" s="34">
        <f t="shared" si="18"/>
        <v>-65583382.571328938</v>
      </c>
      <c r="AQ17" s="34">
        <f t="shared" si="18"/>
        <v>-65583382.571328938</v>
      </c>
      <c r="AR17" s="34">
        <f t="shared" si="18"/>
        <v>-65583382.571328938</v>
      </c>
      <c r="AS17" s="34">
        <f t="shared" si="18"/>
        <v>-65583382.571328938</v>
      </c>
      <c r="AT17" s="34">
        <f t="shared" si="18"/>
        <v>-65583382.571328938</v>
      </c>
      <c r="AU17" s="34">
        <f t="shared" si="18"/>
        <v>-65583382.571328938</v>
      </c>
      <c r="AV17" s="34">
        <f t="shared" si="18"/>
        <v>-65583382.571328938</v>
      </c>
      <c r="AW17" s="34">
        <f t="shared" si="18"/>
        <v>-65583382.571328938</v>
      </c>
      <c r="AX17" s="34">
        <f t="shared" si="18"/>
        <v>-65583382.571328938</v>
      </c>
      <c r="AY17" s="34">
        <f t="shared" si="18"/>
        <v>-65583382.571328938</v>
      </c>
      <c r="AZ17" s="34">
        <f t="shared" si="18"/>
        <v>-65583382.571328938</v>
      </c>
      <c r="BA17" s="34">
        <f t="shared" si="18"/>
        <v>-65583382.571328938</v>
      </c>
      <c r="BB17" s="34">
        <f t="shared" si="18"/>
        <v>-65583382.571328938</v>
      </c>
      <c r="BC17" s="34">
        <f t="shared" si="18"/>
        <v>-65583382.571328938</v>
      </c>
      <c r="BD17" s="34">
        <f t="shared" si="18"/>
        <v>-65583382.571328938</v>
      </c>
      <c r="BE17" s="34">
        <f t="shared" si="18"/>
        <v>-65583382.571328938</v>
      </c>
      <c r="BF17" s="34">
        <f t="shared" si="18"/>
        <v>-65583382.571328938</v>
      </c>
      <c r="BG17" s="34">
        <f t="shared" si="18"/>
        <v>-65583382.571328938</v>
      </c>
      <c r="BH17" s="34">
        <f t="shared" si="18"/>
        <v>-65583382.571328938</v>
      </c>
      <c r="BI17" s="34">
        <f t="shared" si="18"/>
        <v>-65583382.571328938</v>
      </c>
      <c r="BJ17" s="34">
        <f t="shared" si="18"/>
        <v>-65583382.571328938</v>
      </c>
    </row>
    <row r="18" spans="1:63" x14ac:dyDescent="0.3">
      <c r="A18" s="27" t="s">
        <v>70</v>
      </c>
      <c r="B18" s="32">
        <f>'OPEX and CAPEX'!C4</f>
        <v>2141700000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5">
        <f>('OPEX and CAPEX'!C7+'OPEX and CAPEX'!C10+'OPEX and CAPEX'!C13+'OPEX and CAPEX'!L4)*0.7+'OPEX and CAPEX'!C22</f>
        <v>236273000</v>
      </c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>
        <f>W18*0.85+'OPEX and CAPEX'!C22</f>
        <v>224032050</v>
      </c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</row>
    <row r="19" spans="1:63" x14ac:dyDescent="0.3">
      <c r="A19" s="33" t="s">
        <v>71</v>
      </c>
      <c r="B19" s="34"/>
      <c r="C19" s="34">
        <f t="shared" ref="C19:AH19" si="19">C12+C17</f>
        <v>257169873.41925877</v>
      </c>
      <c r="D19" s="34">
        <f t="shared" si="19"/>
        <v>261628164.35770726</v>
      </c>
      <c r="E19" s="34">
        <f t="shared" si="19"/>
        <v>266048546.98278171</v>
      </c>
      <c r="F19" s="34">
        <f t="shared" si="19"/>
        <v>270432421.07457417</v>
      </c>
      <c r="G19" s="34">
        <f t="shared" si="19"/>
        <v>274781073.86384797</v>
      </c>
      <c r="H19" s="34">
        <f t="shared" si="19"/>
        <v>279095765.07094365</v>
      </c>
      <c r="I19" s="34">
        <f t="shared" si="19"/>
        <v>283377727.56965834</v>
      </c>
      <c r="J19" s="34">
        <f t="shared" si="19"/>
        <v>287628168.03563738</v>
      </c>
      <c r="K19" s="34">
        <f t="shared" si="19"/>
        <v>291848267.57964128</v>
      </c>
      <c r="L19" s="34">
        <f t="shared" si="19"/>
        <v>296039182.3660453</v>
      </c>
      <c r="M19" s="34">
        <f t="shared" si="19"/>
        <v>300202044.21691871</v>
      </c>
      <c r="N19" s="34">
        <f t="shared" si="19"/>
        <v>304337961.20202398</v>
      </c>
      <c r="O19" s="34">
        <f t="shared" si="19"/>
        <v>308448018.21506631</v>
      </c>
      <c r="P19" s="34">
        <f t="shared" si="19"/>
        <v>312533277.53651834</v>
      </c>
      <c r="Q19" s="34">
        <f t="shared" si="19"/>
        <v>316594779.38333678</v>
      </c>
      <c r="R19" s="34">
        <f t="shared" si="19"/>
        <v>322648741.3861686</v>
      </c>
      <c r="S19" s="34">
        <f t="shared" si="19"/>
        <v>325603703.28048253</v>
      </c>
      <c r="T19" s="34">
        <f t="shared" si="19"/>
        <v>328571211.31019384</v>
      </c>
      <c r="U19" s="34">
        <f t="shared" si="19"/>
        <v>331551389.46591151</v>
      </c>
      <c r="V19" s="34">
        <f t="shared" si="19"/>
        <v>334544362.22040999</v>
      </c>
      <c r="W19" s="34">
        <f t="shared" si="19"/>
        <v>98415258.640773475</v>
      </c>
      <c r="X19" s="34">
        <f t="shared" si="19"/>
        <v>99565800.499730721</v>
      </c>
      <c r="Y19" s="34">
        <f t="shared" si="19"/>
        <v>100717168.0741713</v>
      </c>
      <c r="Z19" s="34">
        <f t="shared" si="19"/>
        <v>101869412.18207398</v>
      </c>
      <c r="AA19" s="34">
        <f t="shared" si="19"/>
        <v>103022583.6464473</v>
      </c>
      <c r="AB19" s="34">
        <f t="shared" si="19"/>
        <v>104176733.29759362</v>
      </c>
      <c r="AC19" s="34">
        <f t="shared" si="19"/>
        <v>105331911.97537255</v>
      </c>
      <c r="AD19" s="34">
        <f t="shared" si="19"/>
        <v>106488170.53146246</v>
      </c>
      <c r="AE19" s="34">
        <f t="shared" si="19"/>
        <v>107645559.83162177</v>
      </c>
      <c r="AF19" s="34">
        <f t="shared" si="19"/>
        <v>108804130.75794902</v>
      </c>
      <c r="AG19" s="34">
        <f t="shared" si="19"/>
        <v>109910683.40815777</v>
      </c>
      <c r="AH19" s="34">
        <f t="shared" si="19"/>
        <v>111029282.58471102</v>
      </c>
      <c r="AI19" s="34">
        <f t="shared" ref="AI19:BJ19" si="20">AI12+AI17</f>
        <v>112155011.71241561</v>
      </c>
      <c r="AJ19" s="34">
        <f t="shared" si="20"/>
        <v>113287916.23758024</v>
      </c>
      <c r="AK19" s="34">
        <f t="shared" si="20"/>
        <v>114428041.89618823</v>
      </c>
      <c r="AL19" s="34">
        <f t="shared" si="20"/>
        <v>115575434.7157442</v>
      </c>
      <c r="AM19" s="34">
        <f t="shared" si="20"/>
        <v>116730141.01713201</v>
      </c>
      <c r="AN19" s="34">
        <f t="shared" si="20"/>
        <v>117892207.41648489</v>
      </c>
      <c r="AO19" s="34">
        <f t="shared" si="20"/>
        <v>119061680.82706723</v>
      </c>
      <c r="AP19" s="34">
        <f t="shared" si="20"/>
        <v>120238608.46116862</v>
      </c>
      <c r="AQ19" s="34">
        <f t="shared" si="20"/>
        <v>121423037.83200976</v>
      </c>
      <c r="AR19" s="34">
        <f t="shared" si="20"/>
        <v>122615016.75566065</v>
      </c>
      <c r="AS19" s="34">
        <f t="shared" si="20"/>
        <v>123814593.3529709</v>
      </c>
      <c r="AT19" s="34">
        <f t="shared" si="20"/>
        <v>125021816.05151242</v>
      </c>
      <c r="AU19" s="34">
        <f t="shared" si="20"/>
        <v>126037349.30384988</v>
      </c>
      <c r="AV19" s="34">
        <f t="shared" si="20"/>
        <v>134229237.79194149</v>
      </c>
      <c r="AW19" s="34">
        <f t="shared" si="20"/>
        <v>135502843.43413699</v>
      </c>
      <c r="AX19" s="34">
        <f t="shared" si="20"/>
        <v>136784567.03869587</v>
      </c>
      <c r="AY19" s="34">
        <f t="shared" si="20"/>
        <v>138074460.34951016</v>
      </c>
      <c r="AZ19" s="34">
        <f t="shared" si="20"/>
        <v>139372575.44028762</v>
      </c>
      <c r="BA19" s="34">
        <f t="shared" si="20"/>
        <v>140678964.7166537</v>
      </c>
      <c r="BB19" s="34">
        <f t="shared" si="20"/>
        <v>141993680.91826734</v>
      </c>
      <c r="BC19" s="34">
        <f t="shared" si="20"/>
        <v>143316777.12095001</v>
      </c>
      <c r="BD19" s="34">
        <f t="shared" si="20"/>
        <v>144648306.73882863</v>
      </c>
      <c r="BE19" s="34">
        <f t="shared" si="20"/>
        <v>145988323.52649158</v>
      </c>
      <c r="BF19" s="34">
        <f t="shared" si="20"/>
        <v>147336881.58115911</v>
      </c>
      <c r="BG19" s="34">
        <f t="shared" si="20"/>
        <v>148694035.34486711</v>
      </c>
      <c r="BH19" s="34">
        <f t="shared" si="20"/>
        <v>150059839.60666499</v>
      </c>
      <c r="BI19" s="34">
        <f t="shared" si="20"/>
        <v>151434349.5048275</v>
      </c>
      <c r="BJ19" s="34">
        <f t="shared" si="20"/>
        <v>152817620.52908099</v>
      </c>
    </row>
    <row r="20" spans="1:63" x14ac:dyDescent="0.3">
      <c r="A20" s="27" t="s">
        <v>72</v>
      </c>
      <c r="B20" s="31"/>
      <c r="C20" s="31">
        <f>-('OPEX and CAPEX'!C4/'OPEX and CAPEX'!F4+'OPEX and CAPEX'!C7/'OPEX and CAPEX'!F7+'OPEX and CAPEX'!C10/'OPEX and CAPEX'!F10+'OPEX and CAPEX'!C13/'OPEX and CAPEX'!F13+'OPEX and CAPEX'!L4/'OPEX and CAPEX'!S4)</f>
        <v>-50989500</v>
      </c>
      <c r="D20" s="31">
        <f t="shared" ref="D20:AI20" si="21">$C$20</f>
        <v>-50989500</v>
      </c>
      <c r="E20" s="31">
        <f t="shared" si="21"/>
        <v>-50989500</v>
      </c>
      <c r="F20" s="31">
        <f t="shared" si="21"/>
        <v>-50989500</v>
      </c>
      <c r="G20" s="31">
        <f t="shared" si="21"/>
        <v>-50989500</v>
      </c>
      <c r="H20" s="31">
        <f t="shared" si="21"/>
        <v>-50989500</v>
      </c>
      <c r="I20" s="31">
        <f t="shared" si="21"/>
        <v>-50989500</v>
      </c>
      <c r="J20" s="31">
        <f t="shared" si="21"/>
        <v>-50989500</v>
      </c>
      <c r="K20" s="31">
        <f t="shared" si="21"/>
        <v>-50989500</v>
      </c>
      <c r="L20" s="31">
        <f t="shared" si="21"/>
        <v>-50989500</v>
      </c>
      <c r="M20" s="31">
        <f t="shared" si="21"/>
        <v>-50989500</v>
      </c>
      <c r="N20" s="31">
        <f t="shared" si="21"/>
        <v>-50989500</v>
      </c>
      <c r="O20" s="31">
        <f t="shared" si="21"/>
        <v>-50989500</v>
      </c>
      <c r="P20" s="31">
        <f t="shared" si="21"/>
        <v>-50989500</v>
      </c>
      <c r="Q20" s="31">
        <f t="shared" si="21"/>
        <v>-50989500</v>
      </c>
      <c r="R20" s="31">
        <f t="shared" si="21"/>
        <v>-50989500</v>
      </c>
      <c r="S20" s="31">
        <f t="shared" si="21"/>
        <v>-50989500</v>
      </c>
      <c r="T20" s="31">
        <f t="shared" si="21"/>
        <v>-50989500</v>
      </c>
      <c r="U20" s="31">
        <f t="shared" si="21"/>
        <v>-50989500</v>
      </c>
      <c r="V20" s="31">
        <f t="shared" si="21"/>
        <v>-50989500</v>
      </c>
      <c r="W20" s="31">
        <f t="shared" si="21"/>
        <v>-50989500</v>
      </c>
      <c r="X20" s="31">
        <f t="shared" si="21"/>
        <v>-50989500</v>
      </c>
      <c r="Y20" s="31">
        <f t="shared" si="21"/>
        <v>-50989500</v>
      </c>
      <c r="Z20" s="31">
        <f t="shared" si="21"/>
        <v>-50989500</v>
      </c>
      <c r="AA20" s="31">
        <f t="shared" si="21"/>
        <v>-50989500</v>
      </c>
      <c r="AB20" s="31">
        <f t="shared" si="21"/>
        <v>-50989500</v>
      </c>
      <c r="AC20" s="31">
        <f t="shared" si="21"/>
        <v>-50989500</v>
      </c>
      <c r="AD20" s="31">
        <f t="shared" si="21"/>
        <v>-50989500</v>
      </c>
      <c r="AE20" s="31">
        <f t="shared" si="21"/>
        <v>-50989500</v>
      </c>
      <c r="AF20" s="31">
        <f t="shared" si="21"/>
        <v>-50989500</v>
      </c>
      <c r="AG20" s="31">
        <f t="shared" si="21"/>
        <v>-50989500</v>
      </c>
      <c r="AH20" s="31">
        <f t="shared" si="21"/>
        <v>-50989500</v>
      </c>
      <c r="AI20" s="31">
        <f t="shared" si="21"/>
        <v>-50989500</v>
      </c>
      <c r="AJ20" s="31">
        <f t="shared" ref="AJ20:BJ20" si="22">$C$20</f>
        <v>-50989500</v>
      </c>
      <c r="AK20" s="31">
        <f t="shared" si="22"/>
        <v>-50989500</v>
      </c>
      <c r="AL20" s="31">
        <f t="shared" si="22"/>
        <v>-50989500</v>
      </c>
      <c r="AM20" s="31">
        <f t="shared" si="22"/>
        <v>-50989500</v>
      </c>
      <c r="AN20" s="31">
        <f t="shared" si="22"/>
        <v>-50989500</v>
      </c>
      <c r="AO20" s="31">
        <f t="shared" si="22"/>
        <v>-50989500</v>
      </c>
      <c r="AP20" s="31">
        <f t="shared" si="22"/>
        <v>-50989500</v>
      </c>
      <c r="AQ20" s="31">
        <f t="shared" si="22"/>
        <v>-50989500</v>
      </c>
      <c r="AR20" s="31">
        <f t="shared" si="22"/>
        <v>-50989500</v>
      </c>
      <c r="AS20" s="31">
        <f t="shared" si="22"/>
        <v>-50989500</v>
      </c>
      <c r="AT20" s="31">
        <f t="shared" si="22"/>
        <v>-50989500</v>
      </c>
      <c r="AU20" s="31">
        <f t="shared" si="22"/>
        <v>-50989500</v>
      </c>
      <c r="AV20" s="31">
        <f t="shared" si="22"/>
        <v>-50989500</v>
      </c>
      <c r="AW20" s="31">
        <f t="shared" si="22"/>
        <v>-50989500</v>
      </c>
      <c r="AX20" s="31">
        <f t="shared" si="22"/>
        <v>-50989500</v>
      </c>
      <c r="AY20" s="31">
        <f t="shared" si="22"/>
        <v>-50989500</v>
      </c>
      <c r="AZ20" s="31">
        <f t="shared" si="22"/>
        <v>-50989500</v>
      </c>
      <c r="BA20" s="31">
        <f t="shared" si="22"/>
        <v>-50989500</v>
      </c>
      <c r="BB20" s="31">
        <f t="shared" si="22"/>
        <v>-50989500</v>
      </c>
      <c r="BC20" s="31">
        <f t="shared" si="22"/>
        <v>-50989500</v>
      </c>
      <c r="BD20" s="31">
        <f t="shared" si="22"/>
        <v>-50989500</v>
      </c>
      <c r="BE20" s="31">
        <f t="shared" si="22"/>
        <v>-50989500</v>
      </c>
      <c r="BF20" s="31">
        <f t="shared" si="22"/>
        <v>-50989500</v>
      </c>
      <c r="BG20" s="31">
        <f t="shared" si="22"/>
        <v>-50989500</v>
      </c>
      <c r="BH20" s="31">
        <f t="shared" si="22"/>
        <v>-50989500</v>
      </c>
      <c r="BI20" s="31">
        <f t="shared" si="22"/>
        <v>-50989500</v>
      </c>
      <c r="BJ20" s="31">
        <f t="shared" si="22"/>
        <v>-50989500</v>
      </c>
    </row>
    <row r="21" spans="1:63" x14ac:dyDescent="0.3">
      <c r="A21" s="33" t="s">
        <v>73</v>
      </c>
      <c r="B21" s="34"/>
      <c r="C21" s="34">
        <f t="shared" ref="C21:AH21" si="23">C19+C20</f>
        <v>206180373.41925877</v>
      </c>
      <c r="D21" s="34">
        <f t="shared" si="23"/>
        <v>210638664.35770726</v>
      </c>
      <c r="E21" s="34">
        <f t="shared" si="23"/>
        <v>215059046.98278171</v>
      </c>
      <c r="F21" s="34">
        <f t="shared" si="23"/>
        <v>219442921.07457417</v>
      </c>
      <c r="G21" s="34">
        <f t="shared" si="23"/>
        <v>223791573.86384797</v>
      </c>
      <c r="H21" s="34">
        <f t="shared" si="23"/>
        <v>228106265.07094365</v>
      </c>
      <c r="I21" s="34">
        <f t="shared" si="23"/>
        <v>232388227.56965834</v>
      </c>
      <c r="J21" s="34">
        <f t="shared" si="23"/>
        <v>236638668.03563738</v>
      </c>
      <c r="K21" s="34">
        <f t="shared" si="23"/>
        <v>240858767.57964128</v>
      </c>
      <c r="L21" s="34">
        <f t="shared" si="23"/>
        <v>245049682.3660453</v>
      </c>
      <c r="M21" s="34">
        <f t="shared" si="23"/>
        <v>249212544.21691871</v>
      </c>
      <c r="N21" s="34">
        <f t="shared" si="23"/>
        <v>253348461.20202398</v>
      </c>
      <c r="O21" s="34">
        <f t="shared" si="23"/>
        <v>257458518.21506631</v>
      </c>
      <c r="P21" s="34">
        <f t="shared" si="23"/>
        <v>261543777.53651834</v>
      </c>
      <c r="Q21" s="34">
        <f t="shared" si="23"/>
        <v>265605279.38333678</v>
      </c>
      <c r="R21" s="34">
        <f t="shared" si="23"/>
        <v>271659241.3861686</v>
      </c>
      <c r="S21" s="34">
        <f t="shared" si="23"/>
        <v>274614203.28048253</v>
      </c>
      <c r="T21" s="34">
        <f t="shared" si="23"/>
        <v>277581711.31019384</v>
      </c>
      <c r="U21" s="34">
        <f t="shared" si="23"/>
        <v>280561889.46591151</v>
      </c>
      <c r="V21" s="34">
        <f t="shared" si="23"/>
        <v>283554862.22040999</v>
      </c>
      <c r="W21" s="34">
        <f t="shared" si="23"/>
        <v>47425758.640773475</v>
      </c>
      <c r="X21" s="34">
        <f t="shared" si="23"/>
        <v>48576300.499730721</v>
      </c>
      <c r="Y21" s="34">
        <f t="shared" si="23"/>
        <v>49727668.074171305</v>
      </c>
      <c r="Z21" s="34">
        <f t="shared" si="23"/>
        <v>50879912.182073981</v>
      </c>
      <c r="AA21" s="34">
        <f t="shared" si="23"/>
        <v>52033083.646447301</v>
      </c>
      <c r="AB21" s="34">
        <f t="shared" si="23"/>
        <v>53187233.297593623</v>
      </c>
      <c r="AC21" s="34">
        <f t="shared" si="23"/>
        <v>54342411.975372553</v>
      </c>
      <c r="AD21" s="34">
        <f t="shared" si="23"/>
        <v>55498670.531462461</v>
      </c>
      <c r="AE21" s="34">
        <f t="shared" si="23"/>
        <v>56656059.831621766</v>
      </c>
      <c r="AF21" s="34">
        <f t="shared" si="23"/>
        <v>57814630.757949024</v>
      </c>
      <c r="AG21" s="34">
        <f t="shared" si="23"/>
        <v>58921183.408157766</v>
      </c>
      <c r="AH21" s="34">
        <f t="shared" si="23"/>
        <v>60039782.584711015</v>
      </c>
      <c r="AI21" s="34">
        <f t="shared" ref="AI21:BJ21" si="24">AI19+AI20</f>
        <v>61165511.712415606</v>
      </c>
      <c r="AJ21" s="34">
        <f t="shared" si="24"/>
        <v>62298416.23758024</v>
      </c>
      <c r="AK21" s="34">
        <f t="shared" si="24"/>
        <v>63438541.896188229</v>
      </c>
      <c r="AL21" s="34">
        <f t="shared" si="24"/>
        <v>64585934.715744197</v>
      </c>
      <c r="AM21" s="34">
        <f t="shared" si="24"/>
        <v>65740641.017132014</v>
      </c>
      <c r="AN21" s="34">
        <f t="shared" si="24"/>
        <v>66902707.416484892</v>
      </c>
      <c r="AO21" s="34">
        <f t="shared" si="24"/>
        <v>68072180.827067226</v>
      </c>
      <c r="AP21" s="34">
        <f t="shared" si="24"/>
        <v>69249108.461168617</v>
      </c>
      <c r="AQ21" s="34">
        <f t="shared" si="24"/>
        <v>70433537.832009763</v>
      </c>
      <c r="AR21" s="34">
        <f t="shared" si="24"/>
        <v>71625516.755660653</v>
      </c>
      <c r="AS21" s="34">
        <f t="shared" si="24"/>
        <v>72825093.352970898</v>
      </c>
      <c r="AT21" s="34">
        <f t="shared" si="24"/>
        <v>74032316.05151242</v>
      </c>
      <c r="AU21" s="34">
        <f t="shared" si="24"/>
        <v>75047849.303849876</v>
      </c>
      <c r="AV21" s="34">
        <f t="shared" si="24"/>
        <v>83239737.791941494</v>
      </c>
      <c r="AW21" s="34">
        <f t="shared" si="24"/>
        <v>84513343.434136987</v>
      </c>
      <c r="AX21" s="34">
        <f t="shared" si="24"/>
        <v>85795067.038695872</v>
      </c>
      <c r="AY21" s="34">
        <f t="shared" si="24"/>
        <v>87084960.349510163</v>
      </c>
      <c r="AZ21" s="34">
        <f t="shared" si="24"/>
        <v>88383075.44028762</v>
      </c>
      <c r="BA21" s="34">
        <f t="shared" si="24"/>
        <v>89689464.716653705</v>
      </c>
      <c r="BB21" s="34">
        <f t="shared" si="24"/>
        <v>91004180.918267339</v>
      </c>
      <c r="BC21" s="34">
        <f t="shared" si="24"/>
        <v>92327277.120950013</v>
      </c>
      <c r="BD21" s="34">
        <f t="shared" si="24"/>
        <v>93658806.738828629</v>
      </c>
      <c r="BE21" s="34">
        <f t="shared" si="24"/>
        <v>94998823.526491582</v>
      </c>
      <c r="BF21" s="34">
        <f t="shared" si="24"/>
        <v>96347381.581159115</v>
      </c>
      <c r="BG21" s="34">
        <f t="shared" si="24"/>
        <v>97704535.34486711</v>
      </c>
      <c r="BH21" s="34">
        <f t="shared" si="24"/>
        <v>99070339.606664985</v>
      </c>
      <c r="BI21" s="34">
        <f t="shared" si="24"/>
        <v>100444849.5048275</v>
      </c>
      <c r="BJ21" s="34">
        <f t="shared" si="24"/>
        <v>101828120.52908099</v>
      </c>
    </row>
    <row r="22" spans="1:63" x14ac:dyDescent="0.3">
      <c r="A22" s="27" t="s">
        <v>74</v>
      </c>
      <c r="B22" s="31"/>
      <c r="C22" s="31">
        <f t="shared" ref="C22:AH22" si="25">-$T$2*C21</f>
        <v>-57524324.183973201</v>
      </c>
      <c r="D22" s="31">
        <f t="shared" si="25"/>
        <v>-58768187.355800331</v>
      </c>
      <c r="E22" s="31">
        <f t="shared" si="25"/>
        <v>-60001474.108196102</v>
      </c>
      <c r="F22" s="31">
        <f t="shared" si="25"/>
        <v>-61224574.9798062</v>
      </c>
      <c r="G22" s="31">
        <f t="shared" si="25"/>
        <v>-62437849.108013593</v>
      </c>
      <c r="H22" s="31">
        <f t="shared" si="25"/>
        <v>-63641647.954793282</v>
      </c>
      <c r="I22" s="31">
        <f t="shared" si="25"/>
        <v>-64836315.491934679</v>
      </c>
      <c r="J22" s="31">
        <f t="shared" si="25"/>
        <v>-66022188.381942838</v>
      </c>
      <c r="K22" s="31">
        <f t="shared" si="25"/>
        <v>-67199596.154719919</v>
      </c>
      <c r="L22" s="31">
        <f t="shared" si="25"/>
        <v>-68368861.38012664</v>
      </c>
      <c r="M22" s="31">
        <f t="shared" si="25"/>
        <v>-69530299.836520329</v>
      </c>
      <c r="N22" s="31">
        <f t="shared" si="25"/>
        <v>-70684220.675364703</v>
      </c>
      <c r="O22" s="31">
        <f t="shared" si="25"/>
        <v>-71830926.582003504</v>
      </c>
      <c r="P22" s="31">
        <f t="shared" si="25"/>
        <v>-72970713.932688624</v>
      </c>
      <c r="Q22" s="31">
        <f t="shared" si="25"/>
        <v>-74103872.947950974</v>
      </c>
      <c r="R22" s="31">
        <f t="shared" si="25"/>
        <v>-75792928.34674105</v>
      </c>
      <c r="S22" s="31">
        <f t="shared" si="25"/>
        <v>-76617362.715254635</v>
      </c>
      <c r="T22" s="31">
        <f t="shared" si="25"/>
        <v>-77445297.455544084</v>
      </c>
      <c r="U22" s="31">
        <f t="shared" si="25"/>
        <v>-78276767.160989314</v>
      </c>
      <c r="V22" s="31">
        <f t="shared" si="25"/>
        <v>-79111806.559494391</v>
      </c>
      <c r="W22" s="31">
        <f t="shared" si="25"/>
        <v>-13231786.660775801</v>
      </c>
      <c r="X22" s="31">
        <f t="shared" si="25"/>
        <v>-13552787.839424873</v>
      </c>
      <c r="Y22" s="31">
        <f t="shared" si="25"/>
        <v>-13874019.392693795</v>
      </c>
      <c r="Z22" s="31">
        <f t="shared" si="25"/>
        <v>-14195495.498798642</v>
      </c>
      <c r="AA22" s="31">
        <f t="shared" si="25"/>
        <v>-14517230.337358799</v>
      </c>
      <c r="AB22" s="31">
        <f t="shared" si="25"/>
        <v>-14839238.090028623</v>
      </c>
      <c r="AC22" s="31">
        <f t="shared" si="25"/>
        <v>-15161532.941128943</v>
      </c>
      <c r="AD22" s="31">
        <f t="shared" si="25"/>
        <v>-15484129.078278027</v>
      </c>
      <c r="AE22" s="31">
        <f t="shared" si="25"/>
        <v>-15807040.693022475</v>
      </c>
      <c r="AF22" s="31">
        <f t="shared" si="25"/>
        <v>-16130281.98146778</v>
      </c>
      <c r="AG22" s="31">
        <f t="shared" si="25"/>
        <v>-16439010.170876019</v>
      </c>
      <c r="AH22" s="31">
        <f t="shared" si="25"/>
        <v>-16751099.341134375</v>
      </c>
      <c r="AI22" s="31">
        <f t="shared" ref="AI22:BJ22" si="26">-$T$2*AI21</f>
        <v>-17065177.767763957</v>
      </c>
      <c r="AJ22" s="31">
        <f t="shared" si="26"/>
        <v>-17381258.130284887</v>
      </c>
      <c r="AK22" s="31">
        <f t="shared" si="26"/>
        <v>-17699353.189036518</v>
      </c>
      <c r="AL22" s="31">
        <f t="shared" si="26"/>
        <v>-18019475.785692632</v>
      </c>
      <c r="AM22" s="31">
        <f t="shared" si="26"/>
        <v>-18341638.843779832</v>
      </c>
      <c r="AN22" s="31">
        <f t="shared" si="26"/>
        <v>-18665855.369199287</v>
      </c>
      <c r="AO22" s="31">
        <f t="shared" si="26"/>
        <v>-18992138.450751759</v>
      </c>
      <c r="AP22" s="31">
        <f t="shared" si="26"/>
        <v>-19320501.260666046</v>
      </c>
      <c r="AQ22" s="31">
        <f t="shared" si="26"/>
        <v>-19650957.055130724</v>
      </c>
      <c r="AR22" s="31">
        <f t="shared" si="26"/>
        <v>-19983519.174829323</v>
      </c>
      <c r="AS22" s="31">
        <f t="shared" si="26"/>
        <v>-20318201.045478884</v>
      </c>
      <c r="AT22" s="31">
        <f t="shared" si="26"/>
        <v>-20655016.178371966</v>
      </c>
      <c r="AU22" s="31">
        <f t="shared" si="26"/>
        <v>-20938349.955774117</v>
      </c>
      <c r="AV22" s="31">
        <f t="shared" si="26"/>
        <v>-23223886.84395168</v>
      </c>
      <c r="AW22" s="31">
        <f t="shared" si="26"/>
        <v>-23579222.81812422</v>
      </c>
      <c r="AX22" s="31">
        <f t="shared" si="26"/>
        <v>-23936823.703796152</v>
      </c>
      <c r="AY22" s="31">
        <f t="shared" si="26"/>
        <v>-24296703.937513337</v>
      </c>
      <c r="AZ22" s="31">
        <f t="shared" si="26"/>
        <v>-24658878.047840249</v>
      </c>
      <c r="BA22" s="31">
        <f t="shared" si="26"/>
        <v>-25023360.655946385</v>
      </c>
      <c r="BB22" s="31">
        <f t="shared" si="26"/>
        <v>-25390166.476196591</v>
      </c>
      <c r="BC22" s="31">
        <f t="shared" si="26"/>
        <v>-25759310.316745058</v>
      </c>
      <c r="BD22" s="31">
        <f t="shared" si="26"/>
        <v>-26130807.080133189</v>
      </c>
      <c r="BE22" s="31">
        <f t="shared" si="26"/>
        <v>-26504671.763891153</v>
      </c>
      <c r="BF22" s="31">
        <f t="shared" si="26"/>
        <v>-26880919.461143397</v>
      </c>
      <c r="BG22" s="31">
        <f t="shared" si="26"/>
        <v>-27259565.361217927</v>
      </c>
      <c r="BH22" s="31">
        <f t="shared" si="26"/>
        <v>-27640624.750259534</v>
      </c>
      <c r="BI22" s="31">
        <f t="shared" si="26"/>
        <v>-28024113.011846874</v>
      </c>
      <c r="BJ22" s="31">
        <f t="shared" si="26"/>
        <v>-28410045.627613597</v>
      </c>
    </row>
    <row r="23" spans="1:63" x14ac:dyDescent="0.3">
      <c r="A23" s="33" t="s">
        <v>75</v>
      </c>
      <c r="B23" s="34"/>
      <c r="C23" s="34">
        <f t="shared" ref="C23:AH23" si="27">C21+C22</f>
        <v>148656049.23528558</v>
      </c>
      <c r="D23" s="34">
        <f t="shared" si="27"/>
        <v>151870477.00190693</v>
      </c>
      <c r="E23" s="34">
        <f t="shared" si="27"/>
        <v>155057572.8745856</v>
      </c>
      <c r="F23" s="34">
        <f t="shared" si="27"/>
        <v>158218346.09476799</v>
      </c>
      <c r="G23" s="34">
        <f t="shared" si="27"/>
        <v>161353724.75583437</v>
      </c>
      <c r="H23" s="34">
        <f t="shared" si="27"/>
        <v>164464617.11615038</v>
      </c>
      <c r="I23" s="34">
        <f t="shared" si="27"/>
        <v>167551912.07772365</v>
      </c>
      <c r="J23" s="34">
        <f t="shared" si="27"/>
        <v>170616479.65369454</v>
      </c>
      <c r="K23" s="34">
        <f t="shared" si="27"/>
        <v>173659171.42492136</v>
      </c>
      <c r="L23" s="34">
        <f t="shared" si="27"/>
        <v>176680820.98591864</v>
      </c>
      <c r="M23" s="34">
        <f t="shared" si="27"/>
        <v>179682244.38039839</v>
      </c>
      <c r="N23" s="34">
        <f t="shared" si="27"/>
        <v>182664240.52665928</v>
      </c>
      <c r="O23" s="34">
        <f t="shared" si="27"/>
        <v>185627591.63306281</v>
      </c>
      <c r="P23" s="34">
        <f t="shared" si="27"/>
        <v>188573063.60382971</v>
      </c>
      <c r="Q23" s="34">
        <f t="shared" si="27"/>
        <v>191501406.43538582</v>
      </c>
      <c r="R23" s="34">
        <f t="shared" si="27"/>
        <v>195866313.03942755</v>
      </c>
      <c r="S23" s="34">
        <f t="shared" si="27"/>
        <v>197996840.5652279</v>
      </c>
      <c r="T23" s="34">
        <f t="shared" si="27"/>
        <v>200136413.85464975</v>
      </c>
      <c r="U23" s="34">
        <f t="shared" si="27"/>
        <v>202285122.30492219</v>
      </c>
      <c r="V23" s="34">
        <f t="shared" si="27"/>
        <v>204443055.66091561</v>
      </c>
      <c r="W23" s="34">
        <f t="shared" si="27"/>
        <v>34193971.979997672</v>
      </c>
      <c r="X23" s="34">
        <f t="shared" si="27"/>
        <v>35023512.66030585</v>
      </c>
      <c r="Y23" s="34">
        <f t="shared" si="27"/>
        <v>35853648.681477509</v>
      </c>
      <c r="Z23" s="34">
        <f t="shared" si="27"/>
        <v>36684416.683275342</v>
      </c>
      <c r="AA23" s="34">
        <f t="shared" si="27"/>
        <v>37515853.309088498</v>
      </c>
      <c r="AB23" s="34">
        <f t="shared" si="27"/>
        <v>38347995.207565002</v>
      </c>
      <c r="AC23" s="34">
        <f t="shared" si="27"/>
        <v>39180879.034243613</v>
      </c>
      <c r="AD23" s="34">
        <f t="shared" si="27"/>
        <v>40014541.453184433</v>
      </c>
      <c r="AE23" s="34">
        <f t="shared" si="27"/>
        <v>40849019.138599291</v>
      </c>
      <c r="AF23" s="34">
        <f t="shared" si="27"/>
        <v>41684348.776481241</v>
      </c>
      <c r="AG23" s="34">
        <f t="shared" si="27"/>
        <v>42482173.237281747</v>
      </c>
      <c r="AH23" s="34">
        <f t="shared" si="27"/>
        <v>43288683.243576638</v>
      </c>
      <c r="AI23" s="34">
        <f t="shared" ref="AI23:BJ23" si="28">AI21+AI22</f>
        <v>44100333.944651648</v>
      </c>
      <c r="AJ23" s="34">
        <f t="shared" si="28"/>
        <v>44917158.107295349</v>
      </c>
      <c r="AK23" s="34">
        <f t="shared" si="28"/>
        <v>45739188.707151711</v>
      </c>
      <c r="AL23" s="34">
        <f t="shared" si="28"/>
        <v>46566458.930051565</v>
      </c>
      <c r="AM23" s="34">
        <f t="shared" si="28"/>
        <v>47399002.173352182</v>
      </c>
      <c r="AN23" s="34">
        <f t="shared" si="28"/>
        <v>48236852.047285601</v>
      </c>
      <c r="AO23" s="34">
        <f t="shared" si="28"/>
        <v>49080042.376315467</v>
      </c>
      <c r="AP23" s="34">
        <f t="shared" si="28"/>
        <v>49928607.200502574</v>
      </c>
      <c r="AQ23" s="34">
        <f t="shared" si="28"/>
        <v>50782580.776879042</v>
      </c>
      <c r="AR23" s="34">
        <f t="shared" si="28"/>
        <v>51641997.580831334</v>
      </c>
      <c r="AS23" s="34">
        <f t="shared" si="28"/>
        <v>52506892.307492018</v>
      </c>
      <c r="AT23" s="34">
        <f t="shared" si="28"/>
        <v>53377299.873140454</v>
      </c>
      <c r="AU23" s="34">
        <f t="shared" si="28"/>
        <v>54109499.348075762</v>
      </c>
      <c r="AV23" s="34">
        <f t="shared" si="28"/>
        <v>60015850.947989814</v>
      </c>
      <c r="AW23" s="34">
        <f t="shared" si="28"/>
        <v>60934120.616012767</v>
      </c>
      <c r="AX23" s="34">
        <f t="shared" si="28"/>
        <v>61858243.334899724</v>
      </c>
      <c r="AY23" s="34">
        <f t="shared" si="28"/>
        <v>62788256.411996827</v>
      </c>
      <c r="AZ23" s="34">
        <f t="shared" si="28"/>
        <v>63724197.392447367</v>
      </c>
      <c r="BA23" s="34">
        <f t="shared" si="28"/>
        <v>64666104.060707316</v>
      </c>
      <c r="BB23" s="34">
        <f t="shared" si="28"/>
        <v>65614014.442070752</v>
      </c>
      <c r="BC23" s="34">
        <f t="shared" si="28"/>
        <v>66567966.804204956</v>
      </c>
      <c r="BD23" s="34">
        <f t="shared" si="28"/>
        <v>67527999.658695444</v>
      </c>
      <c r="BE23" s="34">
        <f t="shared" si="28"/>
        <v>68494151.762600422</v>
      </c>
      <c r="BF23" s="34">
        <f t="shared" si="28"/>
        <v>69466462.120015711</v>
      </c>
      <c r="BG23" s="34">
        <f t="shared" si="28"/>
        <v>70444969.983649179</v>
      </c>
      <c r="BH23" s="34">
        <f t="shared" si="28"/>
        <v>71429714.856405452</v>
      </c>
      <c r="BI23" s="34">
        <f t="shared" si="28"/>
        <v>72420736.492980629</v>
      </c>
      <c r="BJ23" s="34">
        <f t="shared" si="28"/>
        <v>73418074.901467383</v>
      </c>
    </row>
    <row r="24" spans="1:63" x14ac:dyDescent="0.3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1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</row>
    <row r="25" spans="1:63" x14ac:dyDescent="0.3">
      <c r="A25" s="33" t="s">
        <v>76</v>
      </c>
      <c r="B25" s="75">
        <f>B18</f>
        <v>2141700000</v>
      </c>
      <c r="C25" s="34">
        <f t="shared" ref="C25:AH25" si="29">(ABS(C17)+C18)/(1+$V$2)^C7</f>
        <v>89876151.704364464</v>
      </c>
      <c r="D25" s="34">
        <f t="shared" si="29"/>
        <v>83585005.117179096</v>
      </c>
      <c r="E25" s="34">
        <f t="shared" si="29"/>
        <v>77734225.909225121</v>
      </c>
      <c r="F25" s="34">
        <f t="shared" si="29"/>
        <v>72292989.265660986</v>
      </c>
      <c r="G25" s="34">
        <f t="shared" si="29"/>
        <v>67232628.045566544</v>
      </c>
      <c r="H25" s="34">
        <f t="shared" si="29"/>
        <v>62526481.749186695</v>
      </c>
      <c r="I25" s="34">
        <f t="shared" si="29"/>
        <v>58149756.057158627</v>
      </c>
      <c r="J25" s="34">
        <f t="shared" si="29"/>
        <v>54079392.201705635</v>
      </c>
      <c r="K25" s="34">
        <f t="shared" si="29"/>
        <v>50293945.481579795</v>
      </c>
      <c r="L25" s="34">
        <f t="shared" si="29"/>
        <v>46773472.280709952</v>
      </c>
      <c r="M25" s="34">
        <f t="shared" si="29"/>
        <v>43499424.995313026</v>
      </c>
      <c r="N25" s="34">
        <f t="shared" si="29"/>
        <v>40454554.315892294</v>
      </c>
      <c r="O25" s="34">
        <f t="shared" si="29"/>
        <v>37622818.349295802</v>
      </c>
      <c r="P25" s="34">
        <f t="shared" si="29"/>
        <v>34989298.10204459</v>
      </c>
      <c r="Q25" s="34">
        <f t="shared" si="29"/>
        <v>32540118.879654709</v>
      </c>
      <c r="R25" s="34">
        <f t="shared" si="29"/>
        <v>30773654.051307514</v>
      </c>
      <c r="S25" s="34">
        <f t="shared" si="29"/>
        <v>29103084.259950817</v>
      </c>
      <c r="T25" s="34">
        <f t="shared" si="29"/>
        <v>27523202.542982057</v>
      </c>
      <c r="U25" s="34">
        <f t="shared" si="29"/>
        <v>26029085.833505888</v>
      </c>
      <c r="V25" s="34">
        <f t="shared" si="29"/>
        <v>24616078.316829853</v>
      </c>
      <c r="W25" s="34">
        <f t="shared" si="29"/>
        <v>109877704.40997276</v>
      </c>
      <c r="X25" s="34">
        <f t="shared" si="29"/>
        <v>23709192.756743997</v>
      </c>
      <c r="Y25" s="34">
        <f t="shared" si="29"/>
        <v>22422868.334570125</v>
      </c>
      <c r="Z25" s="34">
        <f t="shared" si="29"/>
        <v>21206337.426658858</v>
      </c>
      <c r="AA25" s="34">
        <f t="shared" si="29"/>
        <v>20055812.933940608</v>
      </c>
      <c r="AB25" s="34">
        <f t="shared" si="29"/>
        <v>18967713.262166504</v>
      </c>
      <c r="AC25" s="34">
        <f t="shared" si="29"/>
        <v>17938651.169768445</v>
      </c>
      <c r="AD25" s="34">
        <f t="shared" si="29"/>
        <v>16965423.220938411</v>
      </c>
      <c r="AE25" s="34">
        <f t="shared" si="29"/>
        <v>16044999.811080901</v>
      </c>
      <c r="AF25" s="34">
        <f t="shared" si="29"/>
        <v>15174515.733575163</v>
      </c>
      <c r="AG25" s="34">
        <f t="shared" si="29"/>
        <v>14451919.746262055</v>
      </c>
      <c r="AH25" s="34">
        <f t="shared" si="29"/>
        <v>13763733.091678148</v>
      </c>
      <c r="AI25" s="34">
        <f t="shared" ref="AI25:BJ25" si="30">(ABS(AI17)+AI18)/(1+$V$2)^AI7</f>
        <v>13108317.230169665</v>
      </c>
      <c r="AJ25" s="34">
        <f t="shared" si="30"/>
        <v>12484111.647780633</v>
      </c>
      <c r="AK25" s="34">
        <f t="shared" si="30"/>
        <v>11889630.140743459</v>
      </c>
      <c r="AL25" s="34">
        <f t="shared" si="30"/>
        <v>11323457.276898533</v>
      </c>
      <c r="AM25" s="34">
        <f t="shared" si="30"/>
        <v>10784245.02561765</v>
      </c>
      <c r="AN25" s="34">
        <f t="shared" si="30"/>
        <v>10270709.548207287</v>
      </c>
      <c r="AO25" s="34">
        <f t="shared" si="30"/>
        <v>9781628.1411497947</v>
      </c>
      <c r="AP25" s="34">
        <f t="shared" si="30"/>
        <v>9315836.3249045685</v>
      </c>
      <c r="AQ25" s="34">
        <f t="shared" si="30"/>
        <v>39179639.737413831</v>
      </c>
      <c r="AR25" s="34">
        <f t="shared" si="30"/>
        <v>8449738.1631787457</v>
      </c>
      <c r="AS25" s="34">
        <f t="shared" si="30"/>
        <v>8047369.6792178527</v>
      </c>
      <c r="AT25" s="34">
        <f t="shared" si="30"/>
        <v>7664161.599255099</v>
      </c>
      <c r="AU25" s="34">
        <f t="shared" si="30"/>
        <v>7299201.523100093</v>
      </c>
      <c r="AV25" s="34">
        <f t="shared" si="30"/>
        <v>6951620.498190566</v>
      </c>
      <c r="AW25" s="34">
        <f t="shared" si="30"/>
        <v>6620590.9506576797</v>
      </c>
      <c r="AX25" s="34">
        <f t="shared" si="30"/>
        <v>6305324.7149120765</v>
      </c>
      <c r="AY25" s="34">
        <f t="shared" si="30"/>
        <v>6005071.15705912</v>
      </c>
      <c r="AZ25" s="34">
        <f t="shared" si="30"/>
        <v>5719115.3876753524</v>
      </c>
      <c r="BA25" s="34">
        <f t="shared" si="30"/>
        <v>5446776.5596908117</v>
      </c>
      <c r="BB25" s="34">
        <f t="shared" si="30"/>
        <v>5187406.2473245831</v>
      </c>
      <c r="BC25" s="34">
        <f t="shared" si="30"/>
        <v>4940386.9022138892</v>
      </c>
      <c r="BD25" s="34">
        <f t="shared" si="30"/>
        <v>4705130.3830608465</v>
      </c>
      <c r="BE25" s="34">
        <f t="shared" si="30"/>
        <v>4481076.5552960439</v>
      </c>
      <c r="BF25" s="34">
        <f t="shared" si="30"/>
        <v>4267691.9574248036</v>
      </c>
      <c r="BG25" s="34">
        <f t="shared" si="30"/>
        <v>4064468.5308807651</v>
      </c>
      <c r="BH25" s="34">
        <f t="shared" si="30"/>
        <v>3870922.4103626334</v>
      </c>
      <c r="BI25" s="34">
        <f t="shared" si="30"/>
        <v>3686592.7717739362</v>
      </c>
      <c r="BJ25" s="34">
        <f t="shared" si="30"/>
        <v>3511040.7350227972</v>
      </c>
      <c r="BK25" s="22">
        <f>SUM(B25:BJ25)</f>
        <v>3677335501.1556501</v>
      </c>
    </row>
    <row r="26" spans="1:63" x14ac:dyDescent="0.3">
      <c r="A26" s="33" t="s">
        <v>77</v>
      </c>
      <c r="B26" s="36"/>
      <c r="C26" s="36">
        <f t="shared" ref="C26:V26" si="31">($B$3+$B$2)*1000/((1+$V$2)^C7)</f>
        <v>2894304000</v>
      </c>
      <c r="D26" s="36">
        <f t="shared" si="31"/>
        <v>2756480000</v>
      </c>
      <c r="E26" s="36">
        <f t="shared" si="31"/>
        <v>2625219047.6190472</v>
      </c>
      <c r="F26" s="36">
        <f t="shared" si="31"/>
        <v>2500208616.7800455</v>
      </c>
      <c r="G26" s="36">
        <f t="shared" si="31"/>
        <v>2381151063.6000428</v>
      </c>
      <c r="H26" s="36">
        <f t="shared" si="31"/>
        <v>2267762917.7143269</v>
      </c>
      <c r="I26" s="36">
        <f t="shared" si="31"/>
        <v>2159774207.3469777</v>
      </c>
      <c r="J26" s="36">
        <f t="shared" si="31"/>
        <v>2056927816.5209312</v>
      </c>
      <c r="K26" s="36">
        <f t="shared" si="31"/>
        <v>1958978872.8770773</v>
      </c>
      <c r="L26" s="36">
        <f t="shared" si="31"/>
        <v>1865694164.6448355</v>
      </c>
      <c r="M26" s="36">
        <f t="shared" si="31"/>
        <v>1776851585.3760338</v>
      </c>
      <c r="N26" s="36">
        <f t="shared" si="31"/>
        <v>1692239605.1200323</v>
      </c>
      <c r="O26" s="36">
        <f t="shared" si="31"/>
        <v>1611656766.780983</v>
      </c>
      <c r="P26" s="36">
        <f t="shared" si="31"/>
        <v>1534911206.4580793</v>
      </c>
      <c r="Q26" s="36">
        <f t="shared" si="31"/>
        <v>1461820196.6267416</v>
      </c>
      <c r="R26" s="36">
        <f t="shared" si="31"/>
        <v>1392209711.0730875</v>
      </c>
      <c r="S26" s="36">
        <f t="shared" si="31"/>
        <v>1325914010.5457973</v>
      </c>
      <c r="T26" s="36">
        <f t="shared" si="31"/>
        <v>1262775248.1388547</v>
      </c>
      <c r="U26" s="36">
        <f t="shared" si="31"/>
        <v>1202643093.4655759</v>
      </c>
      <c r="V26" s="36">
        <f t="shared" si="31"/>
        <v>1145374374.72912</v>
      </c>
      <c r="W26" s="36">
        <f>(($C$3+$C$2+'Output Produzione'!$F$17+'Output Produzione'!$G$17)/(1+$V$2)^W7)*1000</f>
        <v>504092806.73192149</v>
      </c>
      <c r="X26" s="36">
        <f>(($C$3+$C$2+'Output Produzione'!$F$17+'Output Produzione'!$G$17)/(1+$V$2)^X7)*1000</f>
        <v>480088387.36373478</v>
      </c>
      <c r="Y26" s="36">
        <f>(($C$3+$C$2+'Output Produzione'!$F$17+'Output Produzione'!$G$17)/(1+$V$2)^Y7)*1000</f>
        <v>457227035.58450919</v>
      </c>
      <c r="Z26" s="36">
        <f>(($C$3+$C$2+'Output Produzione'!$F$17+'Output Produzione'!$G$17)/(1+$V$2)^Z7)*1000</f>
        <v>435454319.60429454</v>
      </c>
      <c r="AA26" s="36">
        <f>(($C$3+$C$2+'Output Produzione'!$F$17+'Output Produzione'!$G$17)/(1+$V$2)^AA7)*1000</f>
        <v>414718399.62313765</v>
      </c>
      <c r="AB26" s="36">
        <f>(($C$3+$C$2+'Output Produzione'!$F$17+'Output Produzione'!$G$17)/(1+$V$2)^AB7)*1000</f>
        <v>394969904.4029882</v>
      </c>
      <c r="AC26" s="36">
        <f>(($C$3+$C$2+'Output Produzione'!$F$17+'Output Produzione'!$G$17)/(1+$V$2)^AC7)*1000</f>
        <v>376161813.71713161</v>
      </c>
      <c r="AD26" s="36">
        <f>(($C$3+$C$2+'Output Produzione'!$F$17+'Output Produzione'!$G$17)/(1+$V$2)^AD7)*1000</f>
        <v>358249346.39726824</v>
      </c>
      <c r="AE26" s="36">
        <f>(($C$3+$C$2+'Output Produzione'!$F$17+'Output Produzione'!$G$17)/(1+$V$2)^AE7)*1000</f>
        <v>341189853.71168399</v>
      </c>
      <c r="AF26" s="36">
        <f>(($C$3+$C$2+'Output Produzione'!$F$17+'Output Produzione'!$G$17)/(1+$V$2)^AF7)*1000</f>
        <v>324942717.82065153</v>
      </c>
      <c r="AG26" s="36">
        <f>(($D$3+$D$2+'Output Produzione'!$F$31+'Output Produzione'!$G$31)/(1+$V$2)^AG7)*1000</f>
        <v>310751301.36254126</v>
      </c>
      <c r="AH26" s="36">
        <f>(($D$3+$D$2+'Output Produzione'!$F$31+'Output Produzione'!$G$31)/(1+$V$2)^AH7)*1000</f>
        <v>295953620.34527743</v>
      </c>
      <c r="AI26" s="36">
        <f>(($D$3+$D$2+'Output Produzione'!$F$31+'Output Produzione'!$G$31)/(1+$V$2)^AI7)*1000</f>
        <v>281860590.80502611</v>
      </c>
      <c r="AJ26" s="36">
        <f>(($D$3+$D$2+'Output Produzione'!$F$31+'Output Produzione'!$G$31)/(1+$V$2)^AJ7)*1000</f>
        <v>268438657.90954864</v>
      </c>
      <c r="AK26" s="36">
        <f>(($D$3+$D$2+'Output Produzione'!$F$31+'Output Produzione'!$G$31)/(1+$V$2)^AK7)*1000</f>
        <v>255655864.67576063</v>
      </c>
      <c r="AL26" s="36">
        <f>(($D$3+$D$2+'Output Produzione'!$F$31+'Output Produzione'!$G$31)/(1+$V$2)^AL7)*1000</f>
        <v>243481775.88167682</v>
      </c>
      <c r="AM26" s="36">
        <f>(($D$3+$D$2+'Output Produzione'!$F$31+'Output Produzione'!$G$31)/(1+$V$2)^AM7)*1000</f>
        <v>231887405.60159692</v>
      </c>
      <c r="AN26" s="36">
        <f>(($D$3+$D$2+'Output Produzione'!$F$31+'Output Produzione'!$G$31)/(1+$V$2)^AN7)*1000</f>
        <v>220845148.19199711</v>
      </c>
      <c r="AO26" s="36">
        <f>(($D$3+$D$2+'Output Produzione'!$F$31+'Output Produzione'!$G$31)/(1+$V$2)^AO7)*1000</f>
        <v>210328712.56380674</v>
      </c>
      <c r="AP26" s="36">
        <f>(($D$3+$D$2+'Output Produzione'!$F$31+'Output Produzione'!$G$31)/(1+$V$2)^AP7)*1000</f>
        <v>200313059.58457789</v>
      </c>
      <c r="AQ26" s="36">
        <f>(($D$3+$D$2+'Output Produzione'!$F$31+'Output Produzione'!$G$31)/(1+$V$2)^AQ7)*1000</f>
        <v>190774342.46150273</v>
      </c>
      <c r="AR26" s="36">
        <f>(($D$3+$D$2+'Output Produzione'!$F$31+'Output Produzione'!$G$31)/(1+$V$2)^AR7)*1000</f>
        <v>181689849.96333593</v>
      </c>
      <c r="AS26" s="36">
        <f>(($D$3+$D$2+'Output Produzione'!$F$31+'Output Produzione'!$G$31)/(1+$V$2)^AS7)*1000</f>
        <v>173037952.3460342</v>
      </c>
      <c r="AT26" s="36">
        <f>(($D$3+$D$2+'Output Produzione'!$F$31+'Output Produzione'!$G$31)/(1+$V$2)^AT7)*1000</f>
        <v>164798049.85336593</v>
      </c>
      <c r="AU26" s="36">
        <f>(($D$3+$D$2+'Output Produzione'!$F$31+'Output Produzione'!$G$31)/(1+$V$2)^AU7)*1000</f>
        <v>156950523.66987228</v>
      </c>
      <c r="AV26" s="36">
        <f>(($E$3+$E$2+'Output Produzione'!$F$45+'Output Produzione'!$G$45)/(1+$V$2)^AV7)*1000</f>
        <v>153054778.44619045</v>
      </c>
      <c r="AW26" s="36">
        <f>(($E$3+$E$2+'Output Produzione'!$F$45+'Output Produzione'!$G$45)/(1+$V$2)^AW7)*1000</f>
        <v>145766455.66303846</v>
      </c>
      <c r="AX26" s="36">
        <f>(($E$3+$E$2+'Output Produzione'!$F$45+'Output Produzione'!$G$45)/(1+$V$2)^AX7)*1000</f>
        <v>138825195.86956048</v>
      </c>
      <c r="AY26" s="36">
        <f>(($E$3+$E$2+'Output Produzione'!$F$45+'Output Produzione'!$G$45)/(1+$V$2)^AY7)*1000</f>
        <v>132214472.25672422</v>
      </c>
      <c r="AZ26" s="36">
        <f>(($E$3+$E$2+'Output Produzione'!$F$45+'Output Produzione'!$G$45)/(1+$V$2)^AZ7)*1000</f>
        <v>125918545.00640403</v>
      </c>
      <c r="BA26" s="36">
        <f>(($E$3+$E$2+'Output Produzione'!$F$45+'Output Produzione'!$G$45)/(1+$V$2)^BA7)*1000</f>
        <v>119922423.8156229</v>
      </c>
      <c r="BB26" s="36">
        <f>(($E$3+$E$2+'Output Produzione'!$F$45+'Output Produzione'!$G$45)/(1+$V$2)^BB7)*1000</f>
        <v>114211832.20535514</v>
      </c>
      <c r="BC26" s="36">
        <f>(($E$3+$E$2+'Output Produzione'!$F$45+'Output Produzione'!$G$45)/(1+$V$2)^BC7)*1000</f>
        <v>108773173.52890967</v>
      </c>
      <c r="BD26" s="36">
        <f>(($E$3+$E$2+'Output Produzione'!$F$45+'Output Produzione'!$G$45)/(1+$V$2)^BD7)*1000</f>
        <v>103593498.59896159</v>
      </c>
      <c r="BE26" s="36">
        <f>(($E$3+$E$2+'Output Produzione'!$F$45+'Output Produzione'!$G$45)/(1+$V$2)^BE7)*1000</f>
        <v>98660474.856153876</v>
      </c>
      <c r="BF26" s="36">
        <f>(($E$3+$E$2+'Output Produzione'!$F$45+'Output Produzione'!$G$45)/(1+$V$2)^BF7)*1000</f>
        <v>93962357.00586085</v>
      </c>
      <c r="BG26" s="36">
        <f>(($E$3+$E$2+'Output Produzione'!$F$45+'Output Produzione'!$G$45)/(1+$V$2)^BG7)*1000</f>
        <v>89487959.053200796</v>
      </c>
      <c r="BH26" s="36">
        <f>(($E$3+$E$2+'Output Produzione'!$F$45+'Output Produzione'!$G$45)/(1+$V$2)^BH7)*1000</f>
        <v>85226627.669715047</v>
      </c>
      <c r="BI26" s="36">
        <f>(($E$3+$E$2+'Output Produzione'!$F$45+'Output Produzione'!$G$45)/(1+$V$2)^BI7)*1000</f>
        <v>81168216.828300029</v>
      </c>
      <c r="BJ26" s="36">
        <f>(($E$3+$E$2+'Output Produzione'!$F$45+'Output Produzione'!$G$45)/(1+$V$2)^BJ7)*1000</f>
        <v>77303063.646000057</v>
      </c>
      <c r="BK26" s="26">
        <f>SUM(C26:BJ26)</f>
        <v>47014847020.040794</v>
      </c>
    </row>
    <row r="27" spans="1:63" x14ac:dyDescent="0.3">
      <c r="A27" s="33" t="s">
        <v>78</v>
      </c>
      <c r="B27" s="37">
        <f>BK25/BK26</f>
        <v>7.8216472757810532E-2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</row>
    <row r="28" spans="1:63" x14ac:dyDescent="0.3">
      <c r="A28" s="30"/>
      <c r="B28" s="43" t="s">
        <v>49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 t="s">
        <v>50</v>
      </c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 t="s">
        <v>51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 t="s">
        <v>52</v>
      </c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28" t="s">
        <v>59</v>
      </c>
    </row>
    <row r="29" spans="1:63" x14ac:dyDescent="0.3">
      <c r="A29" s="33"/>
      <c r="B29" s="27">
        <v>0</v>
      </c>
      <c r="C29" s="27">
        <v>1</v>
      </c>
      <c r="D29" s="27">
        <v>2</v>
      </c>
      <c r="E29" s="27">
        <v>3</v>
      </c>
      <c r="F29" s="27">
        <v>4</v>
      </c>
      <c r="G29" s="27">
        <v>5</v>
      </c>
      <c r="H29" s="27">
        <v>6</v>
      </c>
      <c r="I29" s="27">
        <v>7</v>
      </c>
      <c r="J29" s="27">
        <v>8</v>
      </c>
      <c r="K29" s="27">
        <v>9</v>
      </c>
      <c r="L29" s="27">
        <v>10</v>
      </c>
      <c r="M29" s="27">
        <v>11</v>
      </c>
      <c r="N29" s="27">
        <v>12</v>
      </c>
      <c r="O29" s="27">
        <v>13</v>
      </c>
      <c r="P29" s="27">
        <v>14</v>
      </c>
      <c r="Q29" s="27">
        <v>15</v>
      </c>
      <c r="R29" s="27">
        <v>16</v>
      </c>
      <c r="S29" s="27">
        <v>17</v>
      </c>
      <c r="T29" s="27">
        <v>18</v>
      </c>
      <c r="U29" s="27">
        <v>19</v>
      </c>
      <c r="V29" s="27">
        <v>20</v>
      </c>
      <c r="W29" s="27">
        <v>21</v>
      </c>
      <c r="X29" s="27">
        <v>22</v>
      </c>
      <c r="Y29" s="27">
        <v>23</v>
      </c>
      <c r="Z29" s="27">
        <v>24</v>
      </c>
      <c r="AA29" s="27">
        <v>25</v>
      </c>
      <c r="AB29" s="27">
        <v>26</v>
      </c>
      <c r="AC29" s="27">
        <v>27</v>
      </c>
      <c r="AD29" s="27">
        <v>28</v>
      </c>
      <c r="AE29" s="27">
        <v>29</v>
      </c>
      <c r="AF29" s="27">
        <v>30</v>
      </c>
      <c r="AG29" s="27">
        <v>31</v>
      </c>
      <c r="AH29" s="27">
        <v>32</v>
      </c>
      <c r="AI29" s="27">
        <v>33</v>
      </c>
      <c r="AJ29" s="27">
        <v>34</v>
      </c>
      <c r="AK29" s="27">
        <v>35</v>
      </c>
      <c r="AL29" s="27">
        <v>36</v>
      </c>
      <c r="AM29" s="27">
        <v>37</v>
      </c>
      <c r="AN29" s="27">
        <v>38</v>
      </c>
      <c r="AO29" s="27">
        <v>39</v>
      </c>
      <c r="AP29" s="27">
        <v>40</v>
      </c>
      <c r="AQ29" s="27">
        <v>41</v>
      </c>
      <c r="AR29" s="27">
        <v>42</v>
      </c>
      <c r="AS29" s="27">
        <v>43</v>
      </c>
      <c r="AT29" s="27">
        <v>44</v>
      </c>
      <c r="AU29" s="27">
        <v>45</v>
      </c>
      <c r="AV29" s="27">
        <v>46</v>
      </c>
      <c r="AW29" s="27">
        <v>47</v>
      </c>
      <c r="AX29" s="27">
        <v>48</v>
      </c>
      <c r="AY29" s="27">
        <v>49</v>
      </c>
      <c r="AZ29" s="27">
        <v>50</v>
      </c>
      <c r="BA29" s="27">
        <v>51</v>
      </c>
      <c r="BB29" s="27">
        <v>52</v>
      </c>
      <c r="BC29" s="27">
        <v>53</v>
      </c>
      <c r="BD29" s="27">
        <v>54</v>
      </c>
      <c r="BE29" s="27">
        <v>55</v>
      </c>
      <c r="BF29" s="27">
        <v>56</v>
      </c>
      <c r="BG29" s="27">
        <v>57</v>
      </c>
      <c r="BH29" s="27">
        <v>58</v>
      </c>
      <c r="BI29" s="27">
        <v>59</v>
      </c>
      <c r="BJ29" s="27">
        <v>60</v>
      </c>
    </row>
    <row r="30" spans="1:63" x14ac:dyDescent="0.3">
      <c r="A30" s="29" t="s">
        <v>79</v>
      </c>
      <c r="B30" s="29">
        <v>2025</v>
      </c>
      <c r="C30" s="29">
        <v>2026</v>
      </c>
      <c r="D30" s="29">
        <v>2027</v>
      </c>
      <c r="E30" s="29">
        <v>2028</v>
      </c>
      <c r="F30" s="29">
        <v>2029</v>
      </c>
      <c r="G30" s="29">
        <v>2030</v>
      </c>
      <c r="H30" s="29">
        <v>2031</v>
      </c>
      <c r="I30" s="29">
        <v>2032</v>
      </c>
      <c r="J30" s="29">
        <v>2033</v>
      </c>
      <c r="K30" s="29">
        <v>2034</v>
      </c>
      <c r="L30" s="29">
        <v>2035</v>
      </c>
      <c r="M30" s="29">
        <v>2036</v>
      </c>
      <c r="N30" s="29">
        <v>2037</v>
      </c>
      <c r="O30" s="29">
        <v>2038</v>
      </c>
      <c r="P30" s="29">
        <v>2039</v>
      </c>
      <c r="Q30" s="29">
        <v>2040</v>
      </c>
      <c r="R30" s="29">
        <v>2041</v>
      </c>
      <c r="S30" s="29">
        <v>2042</v>
      </c>
      <c r="T30" s="29">
        <v>2043</v>
      </c>
      <c r="U30" s="29">
        <v>2044</v>
      </c>
      <c r="V30" s="29">
        <v>2045</v>
      </c>
      <c r="W30" s="29">
        <v>2046</v>
      </c>
      <c r="X30" s="29">
        <v>2047</v>
      </c>
      <c r="Y30" s="29">
        <v>2048</v>
      </c>
      <c r="Z30" s="29">
        <v>2049</v>
      </c>
      <c r="AA30" s="29">
        <v>2050</v>
      </c>
      <c r="AB30" s="29">
        <v>2051</v>
      </c>
      <c r="AC30" s="29">
        <v>2052</v>
      </c>
      <c r="AD30" s="29">
        <v>2053</v>
      </c>
      <c r="AE30" s="29">
        <v>2054</v>
      </c>
      <c r="AF30" s="29">
        <v>2055</v>
      </c>
      <c r="AG30" s="29">
        <v>2056</v>
      </c>
      <c r="AH30" s="29">
        <v>2057</v>
      </c>
      <c r="AI30" s="29">
        <v>2058</v>
      </c>
      <c r="AJ30" s="29">
        <v>2059</v>
      </c>
      <c r="AK30" s="29">
        <v>2060</v>
      </c>
      <c r="AL30" s="29">
        <v>2061</v>
      </c>
      <c r="AM30" s="29">
        <v>2062</v>
      </c>
      <c r="AN30" s="29">
        <v>2063</v>
      </c>
      <c r="AO30" s="29">
        <v>2064</v>
      </c>
      <c r="AP30" s="29">
        <v>2065</v>
      </c>
      <c r="AQ30" s="29">
        <v>2066</v>
      </c>
      <c r="AR30" s="29">
        <v>2067</v>
      </c>
      <c r="AS30" s="29">
        <v>2068</v>
      </c>
      <c r="AT30" s="29">
        <v>2069</v>
      </c>
      <c r="AU30" s="29">
        <v>2070</v>
      </c>
      <c r="AV30" s="29">
        <v>2071</v>
      </c>
      <c r="AW30" s="29">
        <v>2072</v>
      </c>
      <c r="AX30" s="29">
        <v>2073</v>
      </c>
      <c r="AY30" s="29">
        <v>2074</v>
      </c>
      <c r="AZ30" s="29">
        <v>2075</v>
      </c>
      <c r="BA30" s="29">
        <v>2076</v>
      </c>
      <c r="BB30" s="29">
        <v>2077</v>
      </c>
      <c r="BC30" s="29">
        <v>2078</v>
      </c>
      <c r="BD30" s="29">
        <v>2079</v>
      </c>
      <c r="BE30" s="29">
        <v>2080</v>
      </c>
      <c r="BF30" s="29">
        <v>2081</v>
      </c>
      <c r="BG30" s="29">
        <v>2082</v>
      </c>
      <c r="BH30" s="29">
        <v>2083</v>
      </c>
      <c r="BI30" s="29">
        <v>2084</v>
      </c>
      <c r="BJ30" s="29">
        <v>2085</v>
      </c>
    </row>
    <row r="31" spans="1:63" x14ac:dyDescent="0.3">
      <c r="A31" s="33" t="s">
        <v>71</v>
      </c>
      <c r="B31" s="38"/>
      <c r="C31" s="39">
        <f t="shared" ref="C31:AH31" si="32">C19</f>
        <v>257169873.41925877</v>
      </c>
      <c r="D31" s="39">
        <f t="shared" si="32"/>
        <v>261628164.35770726</v>
      </c>
      <c r="E31" s="39">
        <f t="shared" si="32"/>
        <v>266048546.98278171</v>
      </c>
      <c r="F31" s="39">
        <f t="shared" si="32"/>
        <v>270432421.07457417</v>
      </c>
      <c r="G31" s="39">
        <f t="shared" si="32"/>
        <v>274781073.86384797</v>
      </c>
      <c r="H31" s="39">
        <f t="shared" si="32"/>
        <v>279095765.07094365</v>
      </c>
      <c r="I31" s="39">
        <f t="shared" si="32"/>
        <v>283377727.56965834</v>
      </c>
      <c r="J31" s="39">
        <f t="shared" si="32"/>
        <v>287628168.03563738</v>
      </c>
      <c r="K31" s="39">
        <f t="shared" si="32"/>
        <v>291848267.57964128</v>
      </c>
      <c r="L31" s="39">
        <f t="shared" si="32"/>
        <v>296039182.3660453</v>
      </c>
      <c r="M31" s="39">
        <f t="shared" si="32"/>
        <v>300202044.21691871</v>
      </c>
      <c r="N31" s="39">
        <f t="shared" si="32"/>
        <v>304337961.20202398</v>
      </c>
      <c r="O31" s="39">
        <f t="shared" si="32"/>
        <v>308448018.21506631</v>
      </c>
      <c r="P31" s="39">
        <f t="shared" si="32"/>
        <v>312533277.53651834</v>
      </c>
      <c r="Q31" s="39">
        <f t="shared" si="32"/>
        <v>316594779.38333678</v>
      </c>
      <c r="R31" s="39">
        <f t="shared" si="32"/>
        <v>322648741.3861686</v>
      </c>
      <c r="S31" s="39">
        <f t="shared" si="32"/>
        <v>325603703.28048253</v>
      </c>
      <c r="T31" s="39">
        <f t="shared" si="32"/>
        <v>328571211.31019384</v>
      </c>
      <c r="U31" s="39">
        <f t="shared" si="32"/>
        <v>331551389.46591151</v>
      </c>
      <c r="V31" s="39">
        <f t="shared" si="32"/>
        <v>334544362.22040999</v>
      </c>
      <c r="W31" s="39">
        <f t="shared" si="32"/>
        <v>98415258.640773475</v>
      </c>
      <c r="X31" s="39">
        <f t="shared" si="32"/>
        <v>99565800.499730721</v>
      </c>
      <c r="Y31" s="39">
        <f t="shared" si="32"/>
        <v>100717168.0741713</v>
      </c>
      <c r="Z31" s="39">
        <f t="shared" si="32"/>
        <v>101869412.18207398</v>
      </c>
      <c r="AA31" s="39">
        <f t="shared" si="32"/>
        <v>103022583.6464473</v>
      </c>
      <c r="AB31" s="39">
        <f t="shared" si="32"/>
        <v>104176733.29759362</v>
      </c>
      <c r="AC31" s="39">
        <f t="shared" si="32"/>
        <v>105331911.97537255</v>
      </c>
      <c r="AD31" s="39">
        <f t="shared" si="32"/>
        <v>106488170.53146246</v>
      </c>
      <c r="AE31" s="39">
        <f t="shared" si="32"/>
        <v>107645559.83162177</v>
      </c>
      <c r="AF31" s="39">
        <f t="shared" si="32"/>
        <v>108804130.75794902</v>
      </c>
      <c r="AG31" s="39">
        <f t="shared" si="32"/>
        <v>109910683.40815777</v>
      </c>
      <c r="AH31" s="39">
        <f t="shared" si="32"/>
        <v>111029282.58471102</v>
      </c>
      <c r="AI31" s="39">
        <f t="shared" ref="AI31:BJ31" si="33">AI19</f>
        <v>112155011.71241561</v>
      </c>
      <c r="AJ31" s="39">
        <f t="shared" si="33"/>
        <v>113287916.23758024</v>
      </c>
      <c r="AK31" s="39">
        <f t="shared" si="33"/>
        <v>114428041.89618823</v>
      </c>
      <c r="AL31" s="39">
        <f t="shared" si="33"/>
        <v>115575434.7157442</v>
      </c>
      <c r="AM31" s="39">
        <f t="shared" si="33"/>
        <v>116730141.01713201</v>
      </c>
      <c r="AN31" s="39">
        <f t="shared" si="33"/>
        <v>117892207.41648489</v>
      </c>
      <c r="AO31" s="39">
        <f t="shared" si="33"/>
        <v>119061680.82706723</v>
      </c>
      <c r="AP31" s="39">
        <f t="shared" si="33"/>
        <v>120238608.46116862</v>
      </c>
      <c r="AQ31" s="39">
        <f t="shared" si="33"/>
        <v>121423037.83200976</v>
      </c>
      <c r="AR31" s="39">
        <f t="shared" si="33"/>
        <v>122615016.75566065</v>
      </c>
      <c r="AS31" s="39">
        <f t="shared" si="33"/>
        <v>123814593.3529709</v>
      </c>
      <c r="AT31" s="39">
        <f t="shared" si="33"/>
        <v>125021816.05151242</v>
      </c>
      <c r="AU31" s="39">
        <f t="shared" si="33"/>
        <v>126037349.30384988</v>
      </c>
      <c r="AV31" s="39">
        <f t="shared" si="33"/>
        <v>134229237.79194149</v>
      </c>
      <c r="AW31" s="39">
        <f t="shared" si="33"/>
        <v>135502843.43413699</v>
      </c>
      <c r="AX31" s="39">
        <f t="shared" si="33"/>
        <v>136784567.03869587</v>
      </c>
      <c r="AY31" s="39">
        <f t="shared" si="33"/>
        <v>138074460.34951016</v>
      </c>
      <c r="AZ31" s="39">
        <f t="shared" si="33"/>
        <v>139372575.44028762</v>
      </c>
      <c r="BA31" s="39">
        <f t="shared" si="33"/>
        <v>140678964.7166537</v>
      </c>
      <c r="BB31" s="39">
        <f t="shared" si="33"/>
        <v>141993680.91826734</v>
      </c>
      <c r="BC31" s="39">
        <f t="shared" si="33"/>
        <v>143316777.12095001</v>
      </c>
      <c r="BD31" s="39">
        <f t="shared" si="33"/>
        <v>144648306.73882863</v>
      </c>
      <c r="BE31" s="39">
        <f t="shared" si="33"/>
        <v>145988323.52649158</v>
      </c>
      <c r="BF31" s="39">
        <f t="shared" si="33"/>
        <v>147336881.58115911</v>
      </c>
      <c r="BG31" s="39">
        <f t="shared" si="33"/>
        <v>148694035.34486711</v>
      </c>
      <c r="BH31" s="39">
        <f t="shared" si="33"/>
        <v>150059839.60666499</v>
      </c>
      <c r="BI31" s="39">
        <f t="shared" si="33"/>
        <v>151434349.5048275</v>
      </c>
      <c r="BJ31" s="39">
        <f t="shared" si="33"/>
        <v>152817620.52908099</v>
      </c>
    </row>
    <row r="32" spans="1:63" x14ac:dyDescent="0.3">
      <c r="A32" s="27" t="s">
        <v>70</v>
      </c>
      <c r="B32" s="31">
        <f t="shared" ref="B32:AG32" si="34">-B18</f>
        <v>-2141700000</v>
      </c>
      <c r="C32" s="31">
        <f t="shared" si="34"/>
        <v>0</v>
      </c>
      <c r="D32" s="31">
        <f t="shared" si="34"/>
        <v>0</v>
      </c>
      <c r="E32" s="31">
        <f t="shared" si="34"/>
        <v>0</v>
      </c>
      <c r="F32" s="31">
        <f t="shared" si="34"/>
        <v>0</v>
      </c>
      <c r="G32" s="31">
        <f t="shared" si="34"/>
        <v>0</v>
      </c>
      <c r="H32" s="31">
        <f t="shared" si="34"/>
        <v>0</v>
      </c>
      <c r="I32" s="31">
        <f t="shared" si="34"/>
        <v>0</v>
      </c>
      <c r="J32" s="31">
        <f t="shared" si="34"/>
        <v>0</v>
      </c>
      <c r="K32" s="31">
        <f t="shared" si="34"/>
        <v>0</v>
      </c>
      <c r="L32" s="31">
        <f t="shared" si="34"/>
        <v>0</v>
      </c>
      <c r="M32" s="31">
        <f t="shared" si="34"/>
        <v>0</v>
      </c>
      <c r="N32" s="31">
        <f t="shared" si="34"/>
        <v>0</v>
      </c>
      <c r="O32" s="31">
        <f t="shared" si="34"/>
        <v>0</v>
      </c>
      <c r="P32" s="31">
        <f t="shared" si="34"/>
        <v>0</v>
      </c>
      <c r="Q32" s="31">
        <f t="shared" si="34"/>
        <v>0</v>
      </c>
      <c r="R32" s="31">
        <f t="shared" si="34"/>
        <v>0</v>
      </c>
      <c r="S32" s="31">
        <f t="shared" si="34"/>
        <v>0</v>
      </c>
      <c r="T32" s="31">
        <f t="shared" si="34"/>
        <v>0</v>
      </c>
      <c r="U32" s="31">
        <f t="shared" si="34"/>
        <v>0</v>
      </c>
      <c r="V32" s="31">
        <f t="shared" si="34"/>
        <v>0</v>
      </c>
      <c r="W32" s="31">
        <f t="shared" si="34"/>
        <v>-236273000</v>
      </c>
      <c r="X32" s="31">
        <f t="shared" si="34"/>
        <v>0</v>
      </c>
      <c r="Y32" s="31">
        <f t="shared" si="34"/>
        <v>0</v>
      </c>
      <c r="Z32" s="31">
        <f t="shared" si="34"/>
        <v>0</v>
      </c>
      <c r="AA32" s="31">
        <f t="shared" si="34"/>
        <v>0</v>
      </c>
      <c r="AB32" s="31">
        <f t="shared" si="34"/>
        <v>0</v>
      </c>
      <c r="AC32" s="31">
        <f t="shared" si="34"/>
        <v>0</v>
      </c>
      <c r="AD32" s="31">
        <f t="shared" si="34"/>
        <v>0</v>
      </c>
      <c r="AE32" s="31">
        <f t="shared" si="34"/>
        <v>0</v>
      </c>
      <c r="AF32" s="31">
        <f t="shared" si="34"/>
        <v>0</v>
      </c>
      <c r="AG32" s="31">
        <f t="shared" si="34"/>
        <v>0</v>
      </c>
      <c r="AH32" s="31">
        <f t="shared" ref="AH32:BJ32" si="35">-AH18</f>
        <v>0</v>
      </c>
      <c r="AI32" s="31">
        <f t="shared" si="35"/>
        <v>0</v>
      </c>
      <c r="AJ32" s="31">
        <f t="shared" si="35"/>
        <v>0</v>
      </c>
      <c r="AK32" s="31">
        <f t="shared" si="35"/>
        <v>0</v>
      </c>
      <c r="AL32" s="31">
        <f t="shared" si="35"/>
        <v>0</v>
      </c>
      <c r="AM32" s="31">
        <f t="shared" si="35"/>
        <v>0</v>
      </c>
      <c r="AN32" s="31">
        <f t="shared" si="35"/>
        <v>0</v>
      </c>
      <c r="AO32" s="31">
        <f t="shared" si="35"/>
        <v>0</v>
      </c>
      <c r="AP32" s="31">
        <f t="shared" si="35"/>
        <v>0</v>
      </c>
      <c r="AQ32" s="31">
        <f t="shared" si="35"/>
        <v>-224032050</v>
      </c>
      <c r="AR32" s="31">
        <f t="shared" si="35"/>
        <v>0</v>
      </c>
      <c r="AS32" s="31">
        <f t="shared" si="35"/>
        <v>0</v>
      </c>
      <c r="AT32" s="31">
        <f t="shared" si="35"/>
        <v>0</v>
      </c>
      <c r="AU32" s="31">
        <f t="shared" si="35"/>
        <v>0</v>
      </c>
      <c r="AV32" s="31">
        <f t="shared" si="35"/>
        <v>0</v>
      </c>
      <c r="AW32" s="31">
        <f t="shared" si="35"/>
        <v>0</v>
      </c>
      <c r="AX32" s="31">
        <f t="shared" si="35"/>
        <v>0</v>
      </c>
      <c r="AY32" s="31">
        <f t="shared" si="35"/>
        <v>0</v>
      </c>
      <c r="AZ32" s="31">
        <f t="shared" si="35"/>
        <v>0</v>
      </c>
      <c r="BA32" s="31">
        <f t="shared" si="35"/>
        <v>0</v>
      </c>
      <c r="BB32" s="31">
        <f t="shared" si="35"/>
        <v>0</v>
      </c>
      <c r="BC32" s="31">
        <f t="shared" si="35"/>
        <v>0</v>
      </c>
      <c r="BD32" s="31">
        <f t="shared" si="35"/>
        <v>0</v>
      </c>
      <c r="BE32" s="31">
        <f t="shared" si="35"/>
        <v>0</v>
      </c>
      <c r="BF32" s="31">
        <f t="shared" si="35"/>
        <v>0</v>
      </c>
      <c r="BG32" s="31">
        <f t="shared" si="35"/>
        <v>0</v>
      </c>
      <c r="BH32" s="31">
        <f t="shared" si="35"/>
        <v>0</v>
      </c>
      <c r="BI32" s="31">
        <f t="shared" si="35"/>
        <v>0</v>
      </c>
      <c r="BJ32" s="31">
        <f t="shared" si="35"/>
        <v>0</v>
      </c>
    </row>
    <row r="33" spans="1:62" x14ac:dyDescent="0.3">
      <c r="A33" s="27" t="s">
        <v>74</v>
      </c>
      <c r="B33" s="38"/>
      <c r="C33" s="38">
        <f t="shared" ref="C33:AH33" si="36">C22</f>
        <v>-57524324.183973201</v>
      </c>
      <c r="D33" s="38">
        <f t="shared" si="36"/>
        <v>-58768187.355800331</v>
      </c>
      <c r="E33" s="38">
        <f t="shared" si="36"/>
        <v>-60001474.108196102</v>
      </c>
      <c r="F33" s="38">
        <f t="shared" si="36"/>
        <v>-61224574.9798062</v>
      </c>
      <c r="G33" s="38">
        <f t="shared" si="36"/>
        <v>-62437849.108013593</v>
      </c>
      <c r="H33" s="38">
        <f t="shared" si="36"/>
        <v>-63641647.954793282</v>
      </c>
      <c r="I33" s="38">
        <f t="shared" si="36"/>
        <v>-64836315.491934679</v>
      </c>
      <c r="J33" s="38">
        <f t="shared" si="36"/>
        <v>-66022188.381942838</v>
      </c>
      <c r="K33" s="38">
        <f t="shared" si="36"/>
        <v>-67199596.154719919</v>
      </c>
      <c r="L33" s="38">
        <f t="shared" si="36"/>
        <v>-68368861.38012664</v>
      </c>
      <c r="M33" s="38">
        <f t="shared" si="36"/>
        <v>-69530299.836520329</v>
      </c>
      <c r="N33" s="38">
        <f t="shared" si="36"/>
        <v>-70684220.675364703</v>
      </c>
      <c r="O33" s="38">
        <f t="shared" si="36"/>
        <v>-71830926.582003504</v>
      </c>
      <c r="P33" s="38">
        <f t="shared" si="36"/>
        <v>-72970713.932688624</v>
      </c>
      <c r="Q33" s="38">
        <f t="shared" si="36"/>
        <v>-74103872.947950974</v>
      </c>
      <c r="R33" s="38">
        <f t="shared" si="36"/>
        <v>-75792928.34674105</v>
      </c>
      <c r="S33" s="38">
        <f t="shared" si="36"/>
        <v>-76617362.715254635</v>
      </c>
      <c r="T33" s="38">
        <f t="shared" si="36"/>
        <v>-77445297.455544084</v>
      </c>
      <c r="U33" s="38">
        <f t="shared" si="36"/>
        <v>-78276767.160989314</v>
      </c>
      <c r="V33" s="38">
        <f t="shared" si="36"/>
        <v>-79111806.559494391</v>
      </c>
      <c r="W33" s="38">
        <f t="shared" si="36"/>
        <v>-13231786.660775801</v>
      </c>
      <c r="X33" s="38">
        <f t="shared" si="36"/>
        <v>-13552787.839424873</v>
      </c>
      <c r="Y33" s="38">
        <f t="shared" si="36"/>
        <v>-13874019.392693795</v>
      </c>
      <c r="Z33" s="38">
        <f t="shared" si="36"/>
        <v>-14195495.498798642</v>
      </c>
      <c r="AA33" s="38">
        <f t="shared" si="36"/>
        <v>-14517230.337358799</v>
      </c>
      <c r="AB33" s="38">
        <f t="shared" si="36"/>
        <v>-14839238.090028623</v>
      </c>
      <c r="AC33" s="38">
        <f t="shared" si="36"/>
        <v>-15161532.941128943</v>
      </c>
      <c r="AD33" s="38">
        <f t="shared" si="36"/>
        <v>-15484129.078278027</v>
      </c>
      <c r="AE33" s="38">
        <f t="shared" si="36"/>
        <v>-15807040.693022475</v>
      </c>
      <c r="AF33" s="38">
        <f t="shared" si="36"/>
        <v>-16130281.98146778</v>
      </c>
      <c r="AG33" s="38">
        <f t="shared" si="36"/>
        <v>-16439010.170876019</v>
      </c>
      <c r="AH33" s="38">
        <f t="shared" si="36"/>
        <v>-16751099.341134375</v>
      </c>
      <c r="AI33" s="38">
        <f t="shared" ref="AI33:BJ33" si="37">AI22</f>
        <v>-17065177.767763957</v>
      </c>
      <c r="AJ33" s="38">
        <f t="shared" si="37"/>
        <v>-17381258.130284887</v>
      </c>
      <c r="AK33" s="38">
        <f t="shared" si="37"/>
        <v>-17699353.189036518</v>
      </c>
      <c r="AL33" s="38">
        <f t="shared" si="37"/>
        <v>-18019475.785692632</v>
      </c>
      <c r="AM33" s="38">
        <f t="shared" si="37"/>
        <v>-18341638.843779832</v>
      </c>
      <c r="AN33" s="38">
        <f t="shared" si="37"/>
        <v>-18665855.369199287</v>
      </c>
      <c r="AO33" s="38">
        <f t="shared" si="37"/>
        <v>-18992138.450751759</v>
      </c>
      <c r="AP33" s="38">
        <f t="shared" si="37"/>
        <v>-19320501.260666046</v>
      </c>
      <c r="AQ33" s="38">
        <f t="shared" si="37"/>
        <v>-19650957.055130724</v>
      </c>
      <c r="AR33" s="38">
        <f t="shared" si="37"/>
        <v>-19983519.174829323</v>
      </c>
      <c r="AS33" s="38">
        <f t="shared" si="37"/>
        <v>-20318201.045478884</v>
      </c>
      <c r="AT33" s="38">
        <f t="shared" si="37"/>
        <v>-20655016.178371966</v>
      </c>
      <c r="AU33" s="38">
        <f t="shared" si="37"/>
        <v>-20938349.955774117</v>
      </c>
      <c r="AV33" s="38">
        <f t="shared" si="37"/>
        <v>-23223886.84395168</v>
      </c>
      <c r="AW33" s="38">
        <f t="shared" si="37"/>
        <v>-23579222.81812422</v>
      </c>
      <c r="AX33" s="38">
        <f t="shared" si="37"/>
        <v>-23936823.703796152</v>
      </c>
      <c r="AY33" s="38">
        <f t="shared" si="37"/>
        <v>-24296703.937513337</v>
      </c>
      <c r="AZ33" s="38">
        <f t="shared" si="37"/>
        <v>-24658878.047840249</v>
      </c>
      <c r="BA33" s="38">
        <f t="shared" si="37"/>
        <v>-25023360.655946385</v>
      </c>
      <c r="BB33" s="38">
        <f t="shared" si="37"/>
        <v>-25390166.476196591</v>
      </c>
      <c r="BC33" s="38">
        <f t="shared" si="37"/>
        <v>-25759310.316745058</v>
      </c>
      <c r="BD33" s="38">
        <f t="shared" si="37"/>
        <v>-26130807.080133189</v>
      </c>
      <c r="BE33" s="38">
        <f t="shared" si="37"/>
        <v>-26504671.763891153</v>
      </c>
      <c r="BF33" s="38">
        <f t="shared" si="37"/>
        <v>-26880919.461143397</v>
      </c>
      <c r="BG33" s="38">
        <f t="shared" si="37"/>
        <v>-27259565.361217927</v>
      </c>
      <c r="BH33" s="38">
        <f t="shared" si="37"/>
        <v>-27640624.750259534</v>
      </c>
      <c r="BI33" s="38">
        <f t="shared" si="37"/>
        <v>-28024113.011846874</v>
      </c>
      <c r="BJ33" s="38">
        <f t="shared" si="37"/>
        <v>-28410045.627613597</v>
      </c>
    </row>
    <row r="34" spans="1:62" x14ac:dyDescent="0.3">
      <c r="A34" s="33" t="s">
        <v>80</v>
      </c>
      <c r="B34" s="39">
        <f t="shared" ref="B34:AG34" si="38">SUM(B31:B33)</f>
        <v>-2141700000</v>
      </c>
      <c r="C34" s="39">
        <f t="shared" si="38"/>
        <v>199645549.23528558</v>
      </c>
      <c r="D34" s="39">
        <f t="shared" si="38"/>
        <v>202859977.00190693</v>
      </c>
      <c r="E34" s="39">
        <f t="shared" si="38"/>
        <v>206047072.8745856</v>
      </c>
      <c r="F34" s="39">
        <f t="shared" si="38"/>
        <v>209207846.09476799</v>
      </c>
      <c r="G34" s="39">
        <f t="shared" si="38"/>
        <v>212343224.75583437</v>
      </c>
      <c r="H34" s="39">
        <f t="shared" si="38"/>
        <v>215454117.11615038</v>
      </c>
      <c r="I34" s="39">
        <f t="shared" si="38"/>
        <v>218541412.07772365</v>
      </c>
      <c r="J34" s="39">
        <f t="shared" si="38"/>
        <v>221605979.65369454</v>
      </c>
      <c r="K34" s="39">
        <f t="shared" si="38"/>
        <v>224648671.42492136</v>
      </c>
      <c r="L34" s="39">
        <f t="shared" si="38"/>
        <v>227670320.98591864</v>
      </c>
      <c r="M34" s="39">
        <f t="shared" si="38"/>
        <v>230671744.38039839</v>
      </c>
      <c r="N34" s="39">
        <f t="shared" si="38"/>
        <v>233653740.52665928</v>
      </c>
      <c r="O34" s="39">
        <f t="shared" si="38"/>
        <v>236617091.63306281</v>
      </c>
      <c r="P34" s="39">
        <f t="shared" si="38"/>
        <v>239562563.60382971</v>
      </c>
      <c r="Q34" s="39">
        <f t="shared" si="38"/>
        <v>242490906.43538582</v>
      </c>
      <c r="R34" s="39">
        <f t="shared" si="38"/>
        <v>246855813.03942755</v>
      </c>
      <c r="S34" s="39">
        <f t="shared" si="38"/>
        <v>248986340.5652279</v>
      </c>
      <c r="T34" s="39">
        <f t="shared" si="38"/>
        <v>251125913.85464975</v>
      </c>
      <c r="U34" s="39">
        <f t="shared" si="38"/>
        <v>253274622.30492219</v>
      </c>
      <c r="V34" s="39">
        <f t="shared" si="38"/>
        <v>255432555.66091561</v>
      </c>
      <c r="W34" s="39">
        <f>SUM(W31:W33)</f>
        <v>-151089528.02000234</v>
      </c>
      <c r="X34" s="39">
        <f t="shared" si="38"/>
        <v>86013012.660305843</v>
      </c>
      <c r="Y34" s="39">
        <f t="shared" si="38"/>
        <v>86843148.681477517</v>
      </c>
      <c r="Z34" s="39">
        <f t="shared" si="38"/>
        <v>87673916.683275342</v>
      </c>
      <c r="AA34" s="39">
        <f t="shared" si="38"/>
        <v>88505353.309088498</v>
      </c>
      <c r="AB34" s="39">
        <f t="shared" si="38"/>
        <v>89337495.207564995</v>
      </c>
      <c r="AC34" s="39">
        <f t="shared" si="38"/>
        <v>90170379.034243613</v>
      </c>
      <c r="AD34" s="39">
        <f t="shared" si="38"/>
        <v>91004041.453184426</v>
      </c>
      <c r="AE34" s="39">
        <f t="shared" si="38"/>
        <v>91838519.138599291</v>
      </c>
      <c r="AF34" s="39">
        <f t="shared" si="38"/>
        <v>92673848.776481241</v>
      </c>
      <c r="AG34" s="39">
        <f t="shared" si="38"/>
        <v>93471673.23728174</v>
      </c>
      <c r="AH34" s="39">
        <f t="shared" ref="AH34:BJ34" si="39">SUM(AH31:AH33)</f>
        <v>94278183.243576646</v>
      </c>
      <c r="AI34" s="39">
        <f t="shared" si="39"/>
        <v>95089833.944651648</v>
      </c>
      <c r="AJ34" s="39">
        <f t="shared" si="39"/>
        <v>95906658.107295349</v>
      </c>
      <c r="AK34" s="39">
        <f t="shared" si="39"/>
        <v>96728688.707151711</v>
      </c>
      <c r="AL34" s="39">
        <f t="shared" si="39"/>
        <v>97555958.930051565</v>
      </c>
      <c r="AM34" s="39">
        <f t="shared" si="39"/>
        <v>98388502.173352182</v>
      </c>
      <c r="AN34" s="39">
        <f t="shared" si="39"/>
        <v>99226352.047285601</v>
      </c>
      <c r="AO34" s="39">
        <f t="shared" si="39"/>
        <v>100069542.37631547</v>
      </c>
      <c r="AP34" s="39">
        <f t="shared" si="39"/>
        <v>100918107.20050257</v>
      </c>
      <c r="AQ34" s="39">
        <f t="shared" si="39"/>
        <v>-122259969.22312096</v>
      </c>
      <c r="AR34" s="39">
        <f t="shared" si="39"/>
        <v>102631497.58083133</v>
      </c>
      <c r="AS34" s="39">
        <f t="shared" si="39"/>
        <v>103496392.30749202</v>
      </c>
      <c r="AT34" s="39">
        <f t="shared" si="39"/>
        <v>104366799.87314045</v>
      </c>
      <c r="AU34" s="39">
        <f t="shared" si="39"/>
        <v>105098999.34807576</v>
      </c>
      <c r="AV34" s="39">
        <f t="shared" si="39"/>
        <v>111005350.94798982</v>
      </c>
      <c r="AW34" s="39">
        <f t="shared" si="39"/>
        <v>111923620.61601277</v>
      </c>
      <c r="AX34" s="39">
        <f t="shared" si="39"/>
        <v>112847743.33489972</v>
      </c>
      <c r="AY34" s="39">
        <f t="shared" si="39"/>
        <v>113777756.41199683</v>
      </c>
      <c r="AZ34" s="39">
        <f t="shared" si="39"/>
        <v>114713697.39244737</v>
      </c>
      <c r="BA34" s="39">
        <f t="shared" si="39"/>
        <v>115655604.06070732</v>
      </c>
      <c r="BB34" s="39">
        <f t="shared" si="39"/>
        <v>116603514.44207075</v>
      </c>
      <c r="BC34" s="39">
        <f t="shared" si="39"/>
        <v>117557466.80420496</v>
      </c>
      <c r="BD34" s="39">
        <f t="shared" si="39"/>
        <v>118517499.65869544</v>
      </c>
      <c r="BE34" s="39">
        <f t="shared" si="39"/>
        <v>119483651.76260042</v>
      </c>
      <c r="BF34" s="39">
        <f t="shared" si="39"/>
        <v>120455962.12001571</v>
      </c>
      <c r="BG34" s="39">
        <f t="shared" si="39"/>
        <v>121434469.98364918</v>
      </c>
      <c r="BH34" s="39">
        <f t="shared" si="39"/>
        <v>122419214.85640545</v>
      </c>
      <c r="BI34" s="39">
        <f t="shared" si="39"/>
        <v>123410236.49298063</v>
      </c>
      <c r="BJ34" s="39">
        <f t="shared" si="39"/>
        <v>124407574.90146738</v>
      </c>
    </row>
    <row r="35" spans="1:62" x14ac:dyDescent="0.3">
      <c r="A35" s="33" t="s">
        <v>81</v>
      </c>
      <c r="B35" s="39">
        <f>B34</f>
        <v>-2141700000</v>
      </c>
      <c r="C35" s="39">
        <f t="shared" ref="C35:AH35" si="40">C34+B35</f>
        <v>-1942054450.7647145</v>
      </c>
      <c r="D35" s="39">
        <f t="shared" si="40"/>
        <v>-1739194473.7628076</v>
      </c>
      <c r="E35" s="39">
        <f t="shared" si="40"/>
        <v>-1533147400.888222</v>
      </c>
      <c r="F35" s="39">
        <f t="shared" si="40"/>
        <v>-1323939554.7934539</v>
      </c>
      <c r="G35" s="39">
        <f t="shared" si="40"/>
        <v>-1111596330.0376196</v>
      </c>
      <c r="H35" s="39">
        <f t="shared" si="40"/>
        <v>-896142212.92146921</v>
      </c>
      <c r="I35" s="39">
        <f t="shared" si="40"/>
        <v>-677600800.84374559</v>
      </c>
      <c r="J35" s="39">
        <f t="shared" si="40"/>
        <v>-455994821.19005108</v>
      </c>
      <c r="K35" s="39">
        <f t="shared" si="40"/>
        <v>-231346149.76512972</v>
      </c>
      <c r="L35" s="39">
        <f t="shared" si="40"/>
        <v>-3675828.7792110741</v>
      </c>
      <c r="M35" s="39">
        <f t="shared" si="40"/>
        <v>226995915.60118732</v>
      </c>
      <c r="N35" s="39">
        <f t="shared" si="40"/>
        <v>460649656.1278466</v>
      </c>
      <c r="O35" s="39">
        <f t="shared" si="40"/>
        <v>697266747.76090944</v>
      </c>
      <c r="P35" s="39">
        <f t="shared" si="40"/>
        <v>936829311.36473918</v>
      </c>
      <c r="Q35" s="39">
        <f t="shared" si="40"/>
        <v>1179320217.8001251</v>
      </c>
      <c r="R35" s="39">
        <f t="shared" si="40"/>
        <v>1426176030.8395526</v>
      </c>
      <c r="S35" s="39">
        <f t="shared" si="40"/>
        <v>1675162371.4047806</v>
      </c>
      <c r="T35" s="39">
        <f t="shared" si="40"/>
        <v>1926288285.2594304</v>
      </c>
      <c r="U35" s="39">
        <f t="shared" si="40"/>
        <v>2179562907.5643525</v>
      </c>
      <c r="V35" s="39">
        <f t="shared" si="40"/>
        <v>2434995463.2252684</v>
      </c>
      <c r="W35" s="39">
        <f t="shared" si="40"/>
        <v>2283905935.205266</v>
      </c>
      <c r="X35" s="39">
        <f t="shared" si="40"/>
        <v>2369918947.865572</v>
      </c>
      <c r="Y35" s="39">
        <f t="shared" si="40"/>
        <v>2456762096.5470495</v>
      </c>
      <c r="Z35" s="39">
        <f t="shared" si="40"/>
        <v>2544436013.2303247</v>
      </c>
      <c r="AA35" s="39">
        <f t="shared" si="40"/>
        <v>2632941366.5394135</v>
      </c>
      <c r="AB35" s="39">
        <f t="shared" si="40"/>
        <v>2722278861.7469783</v>
      </c>
      <c r="AC35" s="39">
        <f t="shared" si="40"/>
        <v>2812449240.7812219</v>
      </c>
      <c r="AD35" s="39">
        <f t="shared" si="40"/>
        <v>2903453282.2344065</v>
      </c>
      <c r="AE35" s="39">
        <f t="shared" si="40"/>
        <v>2995291801.3730059</v>
      </c>
      <c r="AF35" s="39">
        <f t="shared" si="40"/>
        <v>3087965650.149487</v>
      </c>
      <c r="AG35" s="39">
        <f t="shared" si="40"/>
        <v>3181437323.3867688</v>
      </c>
      <c r="AH35" s="39">
        <f t="shared" si="40"/>
        <v>3275715506.6303453</v>
      </c>
      <c r="AI35" s="39">
        <f t="shared" ref="AI35:BJ35" si="41">AI34+AH35</f>
        <v>3370805340.5749969</v>
      </c>
      <c r="AJ35" s="39">
        <f t="shared" si="41"/>
        <v>3466711998.6822925</v>
      </c>
      <c r="AK35" s="39">
        <f t="shared" si="41"/>
        <v>3563440687.3894444</v>
      </c>
      <c r="AL35" s="39">
        <f t="shared" si="41"/>
        <v>3660996646.3194962</v>
      </c>
      <c r="AM35" s="39">
        <f t="shared" si="41"/>
        <v>3759385148.4928484</v>
      </c>
      <c r="AN35" s="39">
        <f t="shared" si="41"/>
        <v>3858611500.540134</v>
      </c>
      <c r="AO35" s="39">
        <f t="shared" si="41"/>
        <v>3958681042.9164495</v>
      </c>
      <c r="AP35" s="39">
        <f t="shared" si="41"/>
        <v>4059599150.1169519</v>
      </c>
      <c r="AQ35" s="39">
        <f t="shared" si="41"/>
        <v>3937339180.8938308</v>
      </c>
      <c r="AR35" s="39">
        <f t="shared" si="41"/>
        <v>4039970678.4746623</v>
      </c>
      <c r="AS35" s="39">
        <f t="shared" si="41"/>
        <v>4143467070.7821541</v>
      </c>
      <c r="AT35" s="39">
        <f t="shared" si="41"/>
        <v>4247833870.6552944</v>
      </c>
      <c r="AU35" s="39">
        <f t="shared" si="41"/>
        <v>4352932870.0033703</v>
      </c>
      <c r="AV35" s="39">
        <f t="shared" si="41"/>
        <v>4463938220.9513597</v>
      </c>
      <c r="AW35" s="39">
        <f t="shared" si="41"/>
        <v>4575861841.5673723</v>
      </c>
      <c r="AX35" s="39">
        <f t="shared" si="41"/>
        <v>4688709584.9022722</v>
      </c>
      <c r="AY35" s="39">
        <f t="shared" si="41"/>
        <v>4802487341.3142691</v>
      </c>
      <c r="AZ35" s="39">
        <f t="shared" si="41"/>
        <v>4917201038.7067165</v>
      </c>
      <c r="BA35" s="39">
        <f t="shared" si="41"/>
        <v>5032856642.7674236</v>
      </c>
      <c r="BB35" s="39">
        <f t="shared" si="41"/>
        <v>5149460157.2094946</v>
      </c>
      <c r="BC35" s="39">
        <f t="shared" si="41"/>
        <v>5267017624.0136995</v>
      </c>
      <c r="BD35" s="39">
        <f t="shared" si="41"/>
        <v>5385535123.6723948</v>
      </c>
      <c r="BE35" s="39">
        <f t="shared" si="41"/>
        <v>5505018775.4349957</v>
      </c>
      <c r="BF35" s="39">
        <f t="shared" si="41"/>
        <v>5625474737.5550117</v>
      </c>
      <c r="BG35" s="39">
        <f t="shared" si="41"/>
        <v>5746909207.538661</v>
      </c>
      <c r="BH35" s="39">
        <f t="shared" si="41"/>
        <v>5869328422.3950663</v>
      </c>
      <c r="BI35" s="39">
        <f t="shared" si="41"/>
        <v>5992738658.8880472</v>
      </c>
      <c r="BJ35" s="39">
        <f t="shared" si="41"/>
        <v>6117146233.7895145</v>
      </c>
    </row>
    <row r="36" spans="1:62" x14ac:dyDescent="0.3">
      <c r="A36" s="33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</row>
    <row r="37" spans="1:62" x14ac:dyDescent="0.3">
      <c r="A37" s="33" t="s">
        <v>82</v>
      </c>
      <c r="B37" s="39"/>
      <c r="C37" s="39">
        <f t="shared" ref="C37:AH37" si="42">C34/(1+$V$2)^C29</f>
        <v>190138618.31931961</v>
      </c>
      <c r="D37" s="39">
        <f t="shared" si="42"/>
        <v>183999979.14005163</v>
      </c>
      <c r="E37" s="39">
        <f t="shared" si="42"/>
        <v>177991208.61642206</v>
      </c>
      <c r="F37" s="39">
        <f t="shared" si="42"/>
        <v>172115812.72804478</v>
      </c>
      <c r="G37" s="39">
        <f t="shared" si="42"/>
        <v>166376472.86848927</v>
      </c>
      <c r="H37" s="39">
        <f t="shared" si="42"/>
        <v>160775179.46082258</v>
      </c>
      <c r="I37" s="39">
        <f t="shared" si="42"/>
        <v>155313301.42391163</v>
      </c>
      <c r="J37" s="39">
        <f t="shared" si="42"/>
        <v>149991649.89054886</v>
      </c>
      <c r="K37" s="39">
        <f t="shared" si="42"/>
        <v>144810536.6169866</v>
      </c>
      <c r="L37" s="39">
        <f t="shared" si="42"/>
        <v>139769827.49113432</v>
      </c>
      <c r="M37" s="39">
        <f t="shared" si="42"/>
        <v>134868991.51665974</v>
      </c>
      <c r="N37" s="39">
        <f t="shared" si="42"/>
        <v>130107145.62239435</v>
      </c>
      <c r="O37" s="39">
        <f t="shared" si="42"/>
        <v>125483095.62060732</v>
      </c>
      <c r="P37" s="39">
        <f t="shared" si="42"/>
        <v>120995373.61374506</v>
      </c>
      <c r="Q37" s="39">
        <f t="shared" si="42"/>
        <v>116642272.12699826</v>
      </c>
      <c r="R37" s="39">
        <f t="shared" si="42"/>
        <v>113087492.22391669</v>
      </c>
      <c r="S37" s="39">
        <f t="shared" si="42"/>
        <v>108631915.64895776</v>
      </c>
      <c r="T37" s="39">
        <f t="shared" si="42"/>
        <v>104348004.17907922</v>
      </c>
      <c r="U37" s="39">
        <f t="shared" si="42"/>
        <v>100229368.4966245</v>
      </c>
      <c r="V37" s="39">
        <f t="shared" si="42"/>
        <v>96269843.811971426</v>
      </c>
      <c r="W37" s="39">
        <f t="shared" si="42"/>
        <v>-54232432.459985159</v>
      </c>
      <c r="X37" s="39">
        <f t="shared" si="42"/>
        <v>29403537.289697528</v>
      </c>
      <c r="Y37" s="39">
        <f t="shared" si="42"/>
        <v>28273637.315732781</v>
      </c>
      <c r="Z37" s="39">
        <f t="shared" si="42"/>
        <v>27184868.132278368</v>
      </c>
      <c r="AA37" s="39">
        <f t="shared" si="42"/>
        <v>26135876.142263535</v>
      </c>
      <c r="AB37" s="39">
        <f t="shared" si="42"/>
        <v>25125342.81078998</v>
      </c>
      <c r="AC37" s="39">
        <f t="shared" si="42"/>
        <v>24151984.447936431</v>
      </c>
      <c r="AD37" s="39">
        <f t="shared" si="42"/>
        <v>23214551.929012764</v>
      </c>
      <c r="AE37" s="39">
        <f t="shared" si="42"/>
        <v>22311830.358952358</v>
      </c>
      <c r="AF37" s="39">
        <f t="shared" si="42"/>
        <v>21442638.687021051</v>
      </c>
      <c r="AG37" s="39">
        <f t="shared" si="42"/>
        <v>20597368.833558377</v>
      </c>
      <c r="AH37" s="39">
        <f t="shared" si="42"/>
        <v>19785800.909576628</v>
      </c>
      <c r="AI37" s="39">
        <f t="shared" ref="AI37:BJ37" si="43">AI34/(1+$V$2)^AI29</f>
        <v>19005846.600775473</v>
      </c>
      <c r="AJ37" s="39">
        <f t="shared" si="43"/>
        <v>18256292.686257817</v>
      </c>
      <c r="AK37" s="39">
        <f t="shared" si="43"/>
        <v>17535971.577500142</v>
      </c>
      <c r="AL37" s="39">
        <f t="shared" si="43"/>
        <v>16843759.64978414</v>
      </c>
      <c r="AM37" s="39">
        <f t="shared" si="43"/>
        <v>16178575.632126691</v>
      </c>
      <c r="AN37" s="39">
        <f t="shared" si="43"/>
        <v>15539379.05379349</v>
      </c>
      <c r="AO37" s="39">
        <f t="shared" si="43"/>
        <v>14925168.745536311</v>
      </c>
      <c r="AP37" s="39">
        <f t="shared" si="43"/>
        <v>14334981.393747969</v>
      </c>
      <c r="AQ37" s="39">
        <f t="shared" si="43"/>
        <v>-16539524.520294461</v>
      </c>
      <c r="AR37" s="39">
        <f t="shared" si="43"/>
        <v>13223003.264733333</v>
      </c>
      <c r="AS37" s="39">
        <f t="shared" si="43"/>
        <v>12699462.832035353</v>
      </c>
      <c r="AT37" s="39">
        <f t="shared" si="43"/>
        <v>12196443.496260744</v>
      </c>
      <c r="AU37" s="39">
        <f t="shared" si="43"/>
        <v>11697151.718019802</v>
      </c>
      <c r="AV37" s="39">
        <f t="shared" si="43"/>
        <v>11766198.125258531</v>
      </c>
      <c r="AW37" s="39">
        <f t="shared" si="43"/>
        <v>11298601.578064386</v>
      </c>
      <c r="AX37" s="39">
        <f t="shared" si="43"/>
        <v>10849420.03864653</v>
      </c>
      <c r="AY37" s="39">
        <f t="shared" si="43"/>
        <v>10417936.625965886</v>
      </c>
      <c r="AZ37" s="39">
        <f t="shared" si="43"/>
        <v>10003461.947403267</v>
      </c>
      <c r="BA37" s="39">
        <f t="shared" si="43"/>
        <v>9605333.0660339743</v>
      </c>
      <c r="BB37" s="39">
        <f t="shared" si="43"/>
        <v>9222912.5056021549</v>
      </c>
      <c r="BC37" s="39">
        <f t="shared" si="43"/>
        <v>8855587.2918765452</v>
      </c>
      <c r="BD37" s="39">
        <f t="shared" si="43"/>
        <v>8502768.0291122235</v>
      </c>
      <c r="BE37" s="39">
        <f t="shared" si="43"/>
        <v>8163888.0103847049</v>
      </c>
      <c r="BF37" s="39">
        <f t="shared" si="43"/>
        <v>7838402.3606033586</v>
      </c>
      <c r="BG37" s="39">
        <f t="shared" si="43"/>
        <v>7525787.2110503074</v>
      </c>
      <c r="BH37" s="39">
        <f t="shared" si="43"/>
        <v>7225538.9043294322</v>
      </c>
      <c r="BI37" s="39">
        <f t="shared" si="43"/>
        <v>6937173.2286469555</v>
      </c>
      <c r="BJ37" s="39">
        <f t="shared" si="43"/>
        <v>6660224.6803812683</v>
      </c>
    </row>
    <row r="38" spans="1:62" x14ac:dyDescent="0.3">
      <c r="A38" s="40" t="s">
        <v>83</v>
      </c>
      <c r="B38" s="39">
        <f>SUM(C37:BJ37)</f>
        <v>3306110839.5471568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</row>
    <row r="39" spans="1:62" x14ac:dyDescent="0.3">
      <c r="A39" s="33" t="s">
        <v>84</v>
      </c>
      <c r="B39" s="39">
        <f>B32</f>
        <v>-2141700000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</row>
    <row r="40" spans="1:62" x14ac:dyDescent="0.3">
      <c r="A40" s="33" t="s">
        <v>85</v>
      </c>
      <c r="B40" s="39">
        <f>B38+B39</f>
        <v>1164410839.5471568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</row>
    <row r="41" spans="1:62" x14ac:dyDescent="0.3">
      <c r="A41" s="33" t="s">
        <v>86</v>
      </c>
      <c r="B41" s="41">
        <f>IRR(B34:BJ34)</f>
        <v>9.0357007527939182E-2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</row>
    <row r="45" spans="1:62" x14ac:dyDescent="0.3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</row>
  </sheetData>
  <mergeCells count="4">
    <mergeCell ref="B6:Q6"/>
    <mergeCell ref="R6:AF6"/>
    <mergeCell ref="AG6:AU6"/>
    <mergeCell ref="AV6:B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Output Produzione</vt:lpstr>
      <vt:lpstr>Prezzi Energia Vari</vt:lpstr>
      <vt:lpstr>OPEX and CAPEX</vt:lpstr>
      <vt:lpstr>Base Case</vt:lpstr>
      <vt:lpstr>Full Electric</vt:lpstr>
      <vt:lpstr>Middle of the Road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Riccardo Monti</dc:creator>
  <cp:keywords/>
  <dc:description/>
  <cp:lastModifiedBy>Riccardo Monti</cp:lastModifiedBy>
  <cp:revision/>
  <dcterms:created xsi:type="dcterms:W3CDTF">2025-06-27T12:37:11Z</dcterms:created>
  <dcterms:modified xsi:type="dcterms:W3CDTF">2025-07-02T16:34:52Z</dcterms:modified>
  <cp:category/>
  <cp:contentStatus/>
</cp:coreProperties>
</file>